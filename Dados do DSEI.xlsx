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T76605\Documents\DSEI\"/>
    </mc:Choice>
  </mc:AlternateContent>
  <xr:revisionPtr revIDLastSave="0" documentId="13_ncr:1_{D3A645E9-140D-4A96-A7F5-10CFB19CD402}" xr6:coauthVersionLast="47" xr6:coauthVersionMax="47" xr10:uidLastSave="{00000000-0000-0000-0000-000000000000}"/>
  <bookViews>
    <workbookView xWindow="-120" yWindow="-120" windowWidth="20730" windowHeight="11160" xr2:uid="{54C40137-5E62-417E-84C1-0BB66DC92480}"/>
  </bookViews>
  <sheets>
    <sheet name="DSEI Planificad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N30" i="2"/>
  <c r="N31" i="2"/>
  <c r="N32" i="2"/>
  <c r="N15" i="2"/>
  <c r="N16" i="2"/>
  <c r="M17" i="2"/>
  <c r="J15" i="2"/>
  <c r="J16" i="2"/>
  <c r="J17" i="2"/>
  <c r="M9" i="2"/>
  <c r="J30" i="2"/>
  <c r="J31" i="2"/>
  <c r="J32" i="2"/>
  <c r="I30" i="2"/>
  <c r="I31" i="2"/>
  <c r="I32" i="2"/>
  <c r="I14" i="2"/>
  <c r="I15" i="2"/>
  <c r="I17" i="2"/>
  <c r="F30" i="2"/>
  <c r="F31" i="2"/>
  <c r="F32" i="2"/>
  <c r="F15" i="2"/>
  <c r="F16" i="2"/>
  <c r="F17" i="2"/>
  <c r="M20" i="2"/>
  <c r="M28" i="2"/>
  <c r="M22" i="2"/>
  <c r="N19" i="2"/>
  <c r="N29" i="2"/>
  <c r="N28" i="2"/>
  <c r="N27" i="2"/>
  <c r="N26" i="2"/>
  <c r="N25" i="2"/>
  <c r="N24" i="2"/>
  <c r="N23" i="2"/>
  <c r="N22" i="2"/>
  <c r="N21" i="2"/>
  <c r="N20" i="2"/>
  <c r="N18" i="2"/>
  <c r="N14" i="2"/>
  <c r="N13" i="2"/>
  <c r="N12" i="2"/>
  <c r="N11" i="2"/>
  <c r="N10" i="2"/>
  <c r="N9" i="2"/>
  <c r="N8" i="2"/>
  <c r="N7" i="2"/>
  <c r="N6" i="2"/>
  <c r="N5" i="2"/>
  <c r="N4" i="2"/>
  <c r="N3" i="2"/>
  <c r="M27" i="2"/>
  <c r="M26" i="2"/>
  <c r="M25" i="2"/>
  <c r="M24" i="2"/>
  <c r="M23" i="2"/>
  <c r="M21" i="2"/>
  <c r="M19" i="2"/>
  <c r="M18" i="2"/>
  <c r="M4" i="2"/>
  <c r="M5" i="2"/>
  <c r="M6" i="2"/>
  <c r="M7" i="2"/>
  <c r="M8" i="2"/>
  <c r="M10" i="2"/>
  <c r="M11" i="2"/>
  <c r="M12" i="2"/>
  <c r="M13" i="2"/>
  <c r="M3" i="2"/>
  <c r="J26" i="2"/>
  <c r="J29" i="2"/>
  <c r="J28" i="2"/>
  <c r="I28" i="2"/>
  <c r="J27" i="2"/>
  <c r="I27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I12" i="2"/>
  <c r="I8" i="2"/>
  <c r="I4" i="2"/>
  <c r="I3" i="2"/>
  <c r="J14" i="2"/>
  <c r="J13" i="2"/>
  <c r="I13" i="2"/>
  <c r="J12" i="2"/>
  <c r="J11" i="2"/>
  <c r="I11" i="2"/>
  <c r="J10" i="2"/>
  <c r="I10" i="2"/>
  <c r="J9" i="2"/>
  <c r="I9" i="2"/>
  <c r="J8" i="2"/>
  <c r="J7" i="2"/>
  <c r="I7" i="2"/>
  <c r="J6" i="2"/>
  <c r="I6" i="2"/>
  <c r="J5" i="2"/>
  <c r="I5" i="2"/>
  <c r="J4" i="2"/>
  <c r="J3" i="2"/>
  <c r="F4" i="2"/>
  <c r="E28" i="2"/>
  <c r="E27" i="2"/>
  <c r="E26" i="2"/>
  <c r="E25" i="2"/>
  <c r="E24" i="2"/>
  <c r="E23" i="2"/>
  <c r="E22" i="2"/>
  <c r="E21" i="2"/>
  <c r="E20" i="2"/>
  <c r="E19" i="2"/>
  <c r="E18" i="2"/>
  <c r="E13" i="2"/>
  <c r="E11" i="2"/>
  <c r="E10" i="2"/>
  <c r="E9" i="2"/>
  <c r="E7" i="2"/>
  <c r="E6" i="2"/>
  <c r="E5" i="2"/>
  <c r="F14" i="2"/>
  <c r="F19" i="2"/>
  <c r="F18" i="2"/>
  <c r="F29" i="2"/>
  <c r="F28" i="2"/>
  <c r="F27" i="2"/>
  <c r="F26" i="2"/>
  <c r="F25" i="2"/>
  <c r="F24" i="2"/>
  <c r="F23" i="2"/>
  <c r="F22" i="2"/>
  <c r="F21" i="2"/>
  <c r="F20" i="2"/>
  <c r="F13" i="2"/>
  <c r="F12" i="2"/>
  <c r="F11" i="2"/>
  <c r="F10" i="2"/>
  <c r="F9" i="2"/>
  <c r="F8" i="2"/>
  <c r="F7" i="2"/>
  <c r="F6" i="2"/>
  <c r="F5" i="2"/>
  <c r="F3" i="2"/>
  <c r="E3" i="2"/>
</calcChain>
</file>

<file path=xl/sharedStrings.xml><?xml version="1.0" encoding="utf-8"?>
<sst xmlns="http://schemas.openxmlformats.org/spreadsheetml/2006/main" count="19" uniqueCount="13">
  <si>
    <t>6+ consultas pré natal</t>
  </si>
  <si>
    <t>Baixo peso ao nascer</t>
  </si>
  <si>
    <t>Mortalidade infantil</t>
  </si>
  <si>
    <t>6+</t>
  </si>
  <si>
    <t>Total</t>
  </si>
  <si>
    <t>Mensal</t>
  </si>
  <si>
    <t>Acumulado</t>
  </si>
  <si>
    <t>Baixo peso</t>
  </si>
  <si>
    <t>Óbitos</t>
  </si>
  <si>
    <t>Sena Madureira</t>
  </si>
  <si>
    <t>Meses</t>
  </si>
  <si>
    <t>Manoel Urbano</t>
  </si>
  <si>
    <t>Polos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</si>
</sst>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0" fontId="0" fillId="0" borderId="1" xfId="0" applyBorder="1"/>
    <xf numFmtId="10" fontId="0" fillId="0" borderId="1" xfId="0" applyNumberFormat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Border="1"/>
    <xf numFmtId="10" fontId="0" fillId="0" borderId="0" xfId="0" applyNumberFormat="1" applyBorder="1" applyAlignment="1">
      <alignment vertical="center" wrapText="1"/>
    </xf>
    <xf numFmtId="43" fontId="0" fillId="0" borderId="0" xfId="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7" fontId="0" fillId="0" borderId="0" xfId="0" applyNumberForma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F37F-0CF5-4A90-B010-6FBA72B47E9F}">
  <dimension ref="A1:N32"/>
  <sheetViews>
    <sheetView tabSelected="1" topLeftCell="D17" workbookViewId="0">
      <selection activeCell="I34" sqref="I34"/>
    </sheetView>
  </sheetViews>
  <sheetFormatPr defaultRowHeight="15" x14ac:dyDescent="0.25"/>
  <cols>
    <col min="1" max="2" width="17.5703125" customWidth="1"/>
    <col min="3" max="3" width="15.85546875" customWidth="1"/>
    <col min="4" max="4" width="12.28515625" customWidth="1"/>
    <col min="5" max="5" width="13.85546875" customWidth="1"/>
    <col min="6" max="6" width="16.85546875" customWidth="1"/>
    <col min="7" max="7" width="14" customWidth="1"/>
    <col min="8" max="8" width="11.85546875" customWidth="1"/>
    <col min="9" max="9" width="14.28515625" customWidth="1"/>
    <col min="10" max="10" width="17.140625" customWidth="1"/>
    <col min="11" max="11" width="10.5703125" customWidth="1"/>
    <col min="12" max="12" width="12.85546875" customWidth="1"/>
    <col min="13" max="13" width="14.28515625" customWidth="1"/>
    <col min="14" max="14" width="14.7109375" customWidth="1"/>
  </cols>
  <sheetData>
    <row r="1" spans="1:14" ht="15" customHeight="1" x14ac:dyDescent="0.25">
      <c r="A1" s="11" t="s">
        <v>12</v>
      </c>
      <c r="B1" s="11" t="s">
        <v>10</v>
      </c>
      <c r="C1" s="10" t="s">
        <v>1</v>
      </c>
      <c r="D1" s="10"/>
      <c r="E1" s="10"/>
      <c r="F1" s="10"/>
      <c r="G1" s="9" t="s">
        <v>0</v>
      </c>
      <c r="H1" s="9"/>
      <c r="I1" s="9"/>
      <c r="J1" s="9"/>
      <c r="K1" s="9" t="s">
        <v>2</v>
      </c>
      <c r="L1" s="9"/>
      <c r="M1" s="9"/>
      <c r="N1" s="9"/>
    </row>
    <row r="2" spans="1:14" x14ac:dyDescent="0.25">
      <c r="A2" s="11"/>
      <c r="B2" s="11"/>
      <c r="C2" s="2" t="s">
        <v>7</v>
      </c>
      <c r="D2" s="2" t="s">
        <v>4</v>
      </c>
      <c r="E2" s="2" t="s">
        <v>5</v>
      </c>
      <c r="F2" s="2" t="s">
        <v>6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8</v>
      </c>
      <c r="L2" s="2" t="s">
        <v>4</v>
      </c>
      <c r="M2" s="2" t="s">
        <v>5</v>
      </c>
      <c r="N2" s="2" t="s">
        <v>6</v>
      </c>
    </row>
    <row r="3" spans="1:14" x14ac:dyDescent="0.25">
      <c r="A3" s="8" t="s">
        <v>9</v>
      </c>
      <c r="B3" s="16">
        <v>45658</v>
      </c>
      <c r="C3" s="1">
        <v>0</v>
      </c>
      <c r="D3" s="1">
        <v>2</v>
      </c>
      <c r="E3" s="3">
        <f>C3/D3</f>
        <v>0</v>
      </c>
      <c r="F3" s="3">
        <f>C3/D3</f>
        <v>0</v>
      </c>
      <c r="G3" s="1">
        <v>2</v>
      </c>
      <c r="H3" s="1">
        <v>2</v>
      </c>
      <c r="I3" s="3">
        <f>G3/H3</f>
        <v>1</v>
      </c>
      <c r="J3" s="3">
        <f>G3/H3</f>
        <v>1</v>
      </c>
      <c r="K3">
        <v>0</v>
      </c>
      <c r="L3">
        <v>2</v>
      </c>
      <c r="M3" s="4">
        <f>K3/L3*1000</f>
        <v>0</v>
      </c>
      <c r="N3" s="4">
        <f>K3/L3*1000</f>
        <v>0</v>
      </c>
    </row>
    <row r="4" spans="1:14" x14ac:dyDescent="0.25">
      <c r="A4" s="8"/>
      <c r="B4" s="16">
        <v>45689</v>
      </c>
      <c r="C4" s="1">
        <v>0</v>
      </c>
      <c r="D4" s="1">
        <v>0</v>
      </c>
      <c r="E4" s="3">
        <v>0</v>
      </c>
      <c r="F4" s="3">
        <f>SUM(C3:C4)/SUM(D3:D4)</f>
        <v>0</v>
      </c>
      <c r="G4" s="1">
        <v>1</v>
      </c>
      <c r="H4" s="1">
        <v>1</v>
      </c>
      <c r="I4" s="3">
        <f>G4/H4</f>
        <v>1</v>
      </c>
      <c r="J4" s="3">
        <f>SUM(G3:G4)/SUM(H3:H4)</f>
        <v>1</v>
      </c>
      <c r="K4">
        <v>0</v>
      </c>
      <c r="L4">
        <v>1</v>
      </c>
      <c r="M4" s="4">
        <f t="shared" ref="M4:M17" si="0">K4/L4*1000</f>
        <v>0</v>
      </c>
      <c r="N4" s="4">
        <f>SUM(K3:K4)/SUM(L3:L4)*1000</f>
        <v>0</v>
      </c>
    </row>
    <row r="5" spans="1:14" x14ac:dyDescent="0.25">
      <c r="A5" s="8"/>
      <c r="B5" s="16">
        <v>45717</v>
      </c>
      <c r="C5" s="1">
        <v>0</v>
      </c>
      <c r="D5" s="1">
        <v>2</v>
      </c>
      <c r="E5" s="3">
        <f t="shared" ref="E5:E28" si="1">C5/D5</f>
        <v>0</v>
      </c>
      <c r="F5" s="3">
        <f>SUM(C3:C5)/SUM(D3:D5)</f>
        <v>0</v>
      </c>
      <c r="G5" s="1">
        <v>2</v>
      </c>
      <c r="H5" s="1">
        <v>2</v>
      </c>
      <c r="I5" s="3">
        <f t="shared" ref="I5:I8" si="2">G5/H5</f>
        <v>1</v>
      </c>
      <c r="J5" s="3">
        <f>SUM(G3:G5)/SUM(H3:H5)</f>
        <v>1</v>
      </c>
      <c r="K5">
        <v>0</v>
      </c>
      <c r="L5">
        <v>3</v>
      </c>
      <c r="M5" s="4">
        <f t="shared" si="0"/>
        <v>0</v>
      </c>
      <c r="N5" s="4">
        <f>SUM(K3:K5)/SUM(L3:L5)*1000</f>
        <v>0</v>
      </c>
    </row>
    <row r="6" spans="1:14" x14ac:dyDescent="0.25">
      <c r="A6" s="8"/>
      <c r="B6" s="16">
        <v>45748</v>
      </c>
      <c r="C6" s="1">
        <v>0</v>
      </c>
      <c r="D6" s="1">
        <v>4</v>
      </c>
      <c r="E6" s="3">
        <f t="shared" si="1"/>
        <v>0</v>
      </c>
      <c r="F6" s="3">
        <f>SUM(C3:C6)/SUM(D3:D6)</f>
        <v>0</v>
      </c>
      <c r="G6" s="1">
        <v>4</v>
      </c>
      <c r="H6" s="1">
        <v>4</v>
      </c>
      <c r="I6" s="3">
        <f t="shared" si="2"/>
        <v>1</v>
      </c>
      <c r="J6" s="3">
        <f>SUM(G3:G6)/SUM(H3:H6)</f>
        <v>1</v>
      </c>
      <c r="K6">
        <v>0</v>
      </c>
      <c r="L6">
        <v>5</v>
      </c>
      <c r="M6" s="4">
        <f t="shared" si="0"/>
        <v>0</v>
      </c>
      <c r="N6" s="4">
        <f>SUM(K3:K6)/SUM(L3:L6)*1000</f>
        <v>0</v>
      </c>
    </row>
    <row r="7" spans="1:14" x14ac:dyDescent="0.25">
      <c r="A7" s="8"/>
      <c r="B7" s="16">
        <v>45778</v>
      </c>
      <c r="C7" s="1">
        <v>0</v>
      </c>
      <c r="D7" s="1">
        <v>2</v>
      </c>
      <c r="E7" s="3">
        <f t="shared" si="1"/>
        <v>0</v>
      </c>
      <c r="F7" s="3">
        <f>SUM(C3:C7)/SUM(D3:D7)</f>
        <v>0</v>
      </c>
      <c r="G7" s="1">
        <v>0</v>
      </c>
      <c r="H7" s="1">
        <v>1</v>
      </c>
      <c r="I7" s="3">
        <f t="shared" si="2"/>
        <v>0</v>
      </c>
      <c r="J7" s="3">
        <f>SUM(G3:G7)/SUM(H3:H7)</f>
        <v>0.9</v>
      </c>
      <c r="K7">
        <v>0</v>
      </c>
      <c r="L7">
        <v>2</v>
      </c>
      <c r="M7" s="4">
        <f t="shared" si="0"/>
        <v>0</v>
      </c>
      <c r="N7" s="4">
        <f>SUM(K3:K7)/SUM(L3:L7)*1000</f>
        <v>0</v>
      </c>
    </row>
    <row r="8" spans="1:14" x14ac:dyDescent="0.25">
      <c r="A8" s="8"/>
      <c r="B8" s="16">
        <v>45809</v>
      </c>
      <c r="C8" s="1">
        <v>0</v>
      </c>
      <c r="D8" s="1">
        <v>0</v>
      </c>
      <c r="E8" s="3">
        <v>0</v>
      </c>
      <c r="F8" s="3">
        <f>SUM(C3:C8)/SUM(D3:D8)</f>
        <v>0</v>
      </c>
      <c r="G8" s="1">
        <v>2</v>
      </c>
      <c r="H8" s="1">
        <v>2</v>
      </c>
      <c r="I8" s="3">
        <f t="shared" si="2"/>
        <v>1</v>
      </c>
      <c r="J8" s="3">
        <f>SUM(G3:G8)/SUM(H3:H8)</f>
        <v>0.91666666666666663</v>
      </c>
      <c r="K8">
        <v>0</v>
      </c>
      <c r="L8">
        <v>2</v>
      </c>
      <c r="M8" s="4">
        <f t="shared" si="0"/>
        <v>0</v>
      </c>
      <c r="N8" s="4">
        <f>SUM(K3:K8)/SUM(L3:L8)*1000</f>
        <v>0</v>
      </c>
    </row>
    <row r="9" spans="1:14" x14ac:dyDescent="0.25">
      <c r="A9" s="8"/>
      <c r="B9" s="16">
        <v>45839</v>
      </c>
      <c r="C9" s="1">
        <v>0</v>
      </c>
      <c r="D9" s="1">
        <v>2</v>
      </c>
      <c r="E9" s="3">
        <f t="shared" si="1"/>
        <v>0</v>
      </c>
      <c r="F9" s="3">
        <f>SUM(C3:C9)/SUM(D3:D9)</f>
        <v>0</v>
      </c>
      <c r="G9" s="1">
        <v>1</v>
      </c>
      <c r="H9" s="1">
        <v>2</v>
      </c>
      <c r="I9" s="3">
        <f t="shared" ref="I9:I11" si="3">G9/H9</f>
        <v>0.5</v>
      </c>
      <c r="J9" s="3">
        <f>SUM(G3:G9)/SUM(H3:H9)</f>
        <v>0.8571428571428571</v>
      </c>
      <c r="K9">
        <v>1</v>
      </c>
      <c r="L9">
        <v>2</v>
      </c>
      <c r="M9" s="4">
        <f>K9/L9*1000</f>
        <v>500</v>
      </c>
      <c r="N9" s="4">
        <f>SUM(K3:K9)/SUM(L3:L9)*1000</f>
        <v>58.823529411764703</v>
      </c>
    </row>
    <row r="10" spans="1:14" x14ac:dyDescent="0.25">
      <c r="A10" s="8"/>
      <c r="B10" s="16">
        <v>45870</v>
      </c>
      <c r="C10" s="1">
        <v>1</v>
      </c>
      <c r="D10" s="1">
        <v>3</v>
      </c>
      <c r="E10" s="3">
        <f t="shared" si="1"/>
        <v>0.33333333333333331</v>
      </c>
      <c r="F10" s="3">
        <f>SUM(C3:C10)/SUM(D3:D10)</f>
        <v>6.6666666666666666E-2</v>
      </c>
      <c r="G10" s="1">
        <v>2</v>
      </c>
      <c r="H10" s="1">
        <v>5</v>
      </c>
      <c r="I10" s="3">
        <f t="shared" si="3"/>
        <v>0.4</v>
      </c>
      <c r="J10" s="3">
        <f>SUM(G3:G10)/SUM(H3:H10)</f>
        <v>0.73684210526315785</v>
      </c>
      <c r="K10">
        <v>0</v>
      </c>
      <c r="L10">
        <v>7</v>
      </c>
      <c r="M10" s="4">
        <f t="shared" si="0"/>
        <v>0</v>
      </c>
      <c r="N10" s="4">
        <f>SUM(K3:K10)/SUM(L3:L10)*1000</f>
        <v>41.666666666666664</v>
      </c>
    </row>
    <row r="11" spans="1:14" x14ac:dyDescent="0.25">
      <c r="A11" s="8"/>
      <c r="B11" s="16">
        <v>45901</v>
      </c>
      <c r="C11" s="1">
        <v>0</v>
      </c>
      <c r="D11" s="1">
        <v>5</v>
      </c>
      <c r="E11" s="3">
        <f t="shared" si="1"/>
        <v>0</v>
      </c>
      <c r="F11" s="3">
        <f>SUM(C3:C11)/SUM(D3:D11)</f>
        <v>0.05</v>
      </c>
      <c r="G11" s="1">
        <v>4</v>
      </c>
      <c r="H11" s="1">
        <v>4</v>
      </c>
      <c r="I11" s="3">
        <f t="shared" si="3"/>
        <v>1</v>
      </c>
      <c r="J11" s="3">
        <f>SUM(G3:G11)/SUM(H3:H11)</f>
        <v>0.78260869565217395</v>
      </c>
      <c r="K11">
        <v>1</v>
      </c>
      <c r="L11">
        <v>4</v>
      </c>
      <c r="M11" s="4">
        <f t="shared" si="0"/>
        <v>250</v>
      </c>
      <c r="N11" s="4">
        <f>SUM(K3:K11)/SUM(L3:L11)*1000</f>
        <v>71.428571428571431</v>
      </c>
    </row>
    <row r="12" spans="1:14" x14ac:dyDescent="0.25">
      <c r="A12" s="8"/>
      <c r="B12" s="16">
        <v>45931</v>
      </c>
      <c r="C12" s="1">
        <v>0</v>
      </c>
      <c r="D12" s="1">
        <v>0</v>
      </c>
      <c r="E12" s="3">
        <v>0</v>
      </c>
      <c r="F12" s="3">
        <f>SUM(C3:C12)/SUM(D3:D12)</f>
        <v>0.05</v>
      </c>
      <c r="G12" s="1">
        <v>1</v>
      </c>
      <c r="H12" s="1">
        <v>1</v>
      </c>
      <c r="I12" s="3">
        <f>G12/H12</f>
        <v>1</v>
      </c>
      <c r="J12" s="3">
        <f>SUM(G3:G12)/SUM(H3:H12)</f>
        <v>0.79166666666666663</v>
      </c>
      <c r="K12">
        <v>0</v>
      </c>
      <c r="L12">
        <v>1</v>
      </c>
      <c r="M12" s="4">
        <f t="shared" si="0"/>
        <v>0</v>
      </c>
      <c r="N12" s="4">
        <f>SUM(K3:K12)/SUM(L3:L12)*1000</f>
        <v>68.965517241379303</v>
      </c>
    </row>
    <row r="13" spans="1:14" x14ac:dyDescent="0.25">
      <c r="A13" s="8"/>
      <c r="B13" s="16">
        <v>45962</v>
      </c>
      <c r="C13" s="15">
        <v>0</v>
      </c>
      <c r="D13" s="15">
        <v>2</v>
      </c>
      <c r="E13" s="13">
        <f t="shared" si="1"/>
        <v>0</v>
      </c>
      <c r="F13" s="13">
        <f>SUM(C3:C13)/SUM(D3:D13)</f>
        <v>4.5454545454545456E-2</v>
      </c>
      <c r="G13" s="15">
        <v>2</v>
      </c>
      <c r="H13" s="15">
        <v>2</v>
      </c>
      <c r="I13" s="13">
        <f>G13/H13</f>
        <v>1</v>
      </c>
      <c r="J13" s="13">
        <f>SUM(G3:G13)/SUM(H3:H13)</f>
        <v>0.80769230769230771</v>
      </c>
      <c r="K13" s="12">
        <v>0</v>
      </c>
      <c r="L13" s="12">
        <v>2</v>
      </c>
      <c r="M13" s="14">
        <f t="shared" si="0"/>
        <v>0</v>
      </c>
      <c r="N13" s="14">
        <f>SUM(K3:K13)/SUM(L3:L13)*1000</f>
        <v>64.516129032258064</v>
      </c>
    </row>
    <row r="14" spans="1:14" x14ac:dyDescent="0.25">
      <c r="A14" s="8"/>
      <c r="B14" s="16">
        <v>45992</v>
      </c>
      <c r="C14" s="18">
        <v>0</v>
      </c>
      <c r="D14" s="18">
        <v>2</v>
      </c>
      <c r="E14" s="13">
        <v>0</v>
      </c>
      <c r="F14" s="13">
        <f>SUM(C3:C14)/SUM(D3:D14)</f>
        <v>4.1666666666666664E-2</v>
      </c>
      <c r="G14" s="12">
        <v>1</v>
      </c>
      <c r="H14" s="12">
        <v>2</v>
      </c>
      <c r="I14" s="13">
        <f t="shared" ref="I14:I17" si="4">G14/H14</f>
        <v>0.5</v>
      </c>
      <c r="J14" s="13">
        <f>SUM(G3:G14)/SUM(H3:H14)</f>
        <v>0.7857142857142857</v>
      </c>
      <c r="K14" s="12">
        <v>0</v>
      </c>
      <c r="L14" s="12">
        <v>0</v>
      </c>
      <c r="M14" s="14">
        <v>0</v>
      </c>
      <c r="N14" s="14">
        <f>SUM(K3:K14)/SUM(L3:L14)*1000</f>
        <v>64.516129032258064</v>
      </c>
    </row>
    <row r="15" spans="1:14" x14ac:dyDescent="0.25">
      <c r="A15" s="8"/>
      <c r="B15" s="16">
        <v>46023</v>
      </c>
      <c r="C15" s="18">
        <v>1</v>
      </c>
      <c r="D15" s="18">
        <v>4</v>
      </c>
      <c r="E15" s="13">
        <v>0</v>
      </c>
      <c r="F15" s="13">
        <f t="shared" ref="F15:F17" si="5">SUM(C4:C15)/SUM(D4:D15)</f>
        <v>7.6923076923076927E-2</v>
      </c>
      <c r="G15" s="18">
        <v>2</v>
      </c>
      <c r="H15" s="18">
        <v>2</v>
      </c>
      <c r="I15" s="13">
        <f t="shared" si="4"/>
        <v>1</v>
      </c>
      <c r="J15" s="13">
        <f t="shared" ref="J15:J17" si="6">SUM(G4:G15)/SUM(H4:H15)</f>
        <v>0.7857142857142857</v>
      </c>
      <c r="K15" s="19">
        <v>0</v>
      </c>
      <c r="L15" s="19">
        <v>2</v>
      </c>
      <c r="M15" s="4">
        <v>0</v>
      </c>
      <c r="N15" s="14">
        <f t="shared" ref="N15:N17" si="7">SUM(K4:K15)/SUM(L4:L15)*1000</f>
        <v>64.516129032258064</v>
      </c>
    </row>
    <row r="16" spans="1:14" x14ac:dyDescent="0.25">
      <c r="A16" s="8"/>
      <c r="B16" s="16">
        <v>46054</v>
      </c>
      <c r="C16" s="18">
        <v>0</v>
      </c>
      <c r="D16" s="18">
        <v>0</v>
      </c>
      <c r="E16" s="13">
        <v>0</v>
      </c>
      <c r="F16" s="13">
        <f t="shared" si="5"/>
        <v>7.6923076923076927E-2</v>
      </c>
      <c r="G16" s="18">
        <v>0</v>
      </c>
      <c r="H16" s="18">
        <v>0</v>
      </c>
      <c r="I16" s="13">
        <v>0</v>
      </c>
      <c r="J16" s="13">
        <f t="shared" si="6"/>
        <v>0.77777777777777779</v>
      </c>
      <c r="K16" s="19">
        <v>0</v>
      </c>
      <c r="L16" s="19">
        <v>0</v>
      </c>
      <c r="M16" s="4">
        <v>0</v>
      </c>
      <c r="N16" s="14">
        <f t="shared" si="7"/>
        <v>66.666666666666671</v>
      </c>
    </row>
    <row r="17" spans="1:14" x14ac:dyDescent="0.25">
      <c r="A17" s="8"/>
      <c r="B17" s="16">
        <v>46082</v>
      </c>
      <c r="C17" s="5">
        <v>0</v>
      </c>
      <c r="D17" s="5">
        <v>2</v>
      </c>
      <c r="E17" s="6">
        <v>0</v>
      </c>
      <c r="F17" s="6">
        <f t="shared" si="5"/>
        <v>7.6923076923076927E-2</v>
      </c>
      <c r="G17" s="5">
        <v>0</v>
      </c>
      <c r="H17" s="5">
        <v>1</v>
      </c>
      <c r="I17" s="6">
        <f t="shared" si="4"/>
        <v>0</v>
      </c>
      <c r="J17" s="6">
        <f t="shared" si="6"/>
        <v>0.73076923076923073</v>
      </c>
      <c r="K17" s="5">
        <v>0</v>
      </c>
      <c r="L17" s="5">
        <v>2</v>
      </c>
      <c r="M17" s="7">
        <f t="shared" si="0"/>
        <v>0</v>
      </c>
      <c r="N17" s="7">
        <f>SUM(K6:K17)/SUM(L6:L17)*1000</f>
        <v>68.965517241379303</v>
      </c>
    </row>
    <row r="18" spans="1:14" x14ac:dyDescent="0.25">
      <c r="A18" s="8" t="s">
        <v>11</v>
      </c>
      <c r="B18" s="16">
        <v>45658</v>
      </c>
      <c r="C18" s="1">
        <v>0</v>
      </c>
      <c r="D18" s="1">
        <v>2</v>
      </c>
      <c r="E18" s="3">
        <f>C18/D18</f>
        <v>0</v>
      </c>
      <c r="F18" s="3">
        <f>C18/D18</f>
        <v>0</v>
      </c>
      <c r="G18">
        <v>0</v>
      </c>
      <c r="H18">
        <v>2</v>
      </c>
      <c r="I18" s="3">
        <f>G18/H18</f>
        <v>0</v>
      </c>
      <c r="J18" s="3">
        <f>G18/H18</f>
        <v>0</v>
      </c>
      <c r="K18">
        <v>1</v>
      </c>
      <c r="L18">
        <v>2</v>
      </c>
      <c r="M18" s="4">
        <f>K18/L18*1000</f>
        <v>500</v>
      </c>
      <c r="N18" s="4">
        <f>K18/L18*1000</f>
        <v>500</v>
      </c>
    </row>
    <row r="19" spans="1:14" x14ac:dyDescent="0.25">
      <c r="A19" s="8"/>
      <c r="B19" s="16">
        <v>45689</v>
      </c>
      <c r="C19">
        <v>0</v>
      </c>
      <c r="D19">
        <v>2</v>
      </c>
      <c r="E19" s="3">
        <f t="shared" si="1"/>
        <v>0</v>
      </c>
      <c r="F19" s="3">
        <f>SUM(C18:C19)/SUM(D18:D19)</f>
        <v>0</v>
      </c>
      <c r="G19">
        <v>0</v>
      </c>
      <c r="H19">
        <v>6</v>
      </c>
      <c r="I19" s="3">
        <f>G19/H19</f>
        <v>0</v>
      </c>
      <c r="J19" s="3">
        <f>SUM(G18:G19)/SUM(H18:H19)</f>
        <v>0</v>
      </c>
      <c r="K19">
        <v>0</v>
      </c>
      <c r="L19">
        <v>6</v>
      </c>
      <c r="M19" s="4">
        <f t="shared" ref="M19:M28" si="8">K19/L19*1000</f>
        <v>0</v>
      </c>
      <c r="N19" s="4">
        <f>SUM(K18:K19)/SUM(L18:L19)*1000</f>
        <v>125</v>
      </c>
    </row>
    <row r="20" spans="1:14" x14ac:dyDescent="0.25">
      <c r="A20" s="8"/>
      <c r="B20" s="16">
        <v>45717</v>
      </c>
      <c r="C20">
        <v>0</v>
      </c>
      <c r="D20">
        <v>5</v>
      </c>
      <c r="E20" s="3">
        <f t="shared" si="1"/>
        <v>0</v>
      </c>
      <c r="F20" s="3">
        <f>SUM(C18:C20)/SUM(D18:D20)</f>
        <v>0</v>
      </c>
      <c r="G20">
        <v>1</v>
      </c>
      <c r="H20">
        <v>5</v>
      </c>
      <c r="I20" s="3">
        <f t="shared" ref="I20:I32" si="9">G20/H20</f>
        <v>0.2</v>
      </c>
      <c r="J20" s="3">
        <f>SUM(G18:G20)/SUM(H18:H20)</f>
        <v>7.6923076923076927E-2</v>
      </c>
      <c r="K20">
        <v>0</v>
      </c>
      <c r="L20">
        <v>4</v>
      </c>
      <c r="M20" s="4">
        <f t="shared" si="8"/>
        <v>0</v>
      </c>
      <c r="N20" s="4">
        <f>SUM(K18:K20)/SUM(L18:L20)*1000</f>
        <v>83.333333333333329</v>
      </c>
    </row>
    <row r="21" spans="1:14" x14ac:dyDescent="0.25">
      <c r="A21" s="8"/>
      <c r="B21" s="16">
        <v>45748</v>
      </c>
      <c r="C21">
        <v>0</v>
      </c>
      <c r="D21">
        <v>2</v>
      </c>
      <c r="E21" s="3">
        <f t="shared" si="1"/>
        <v>0</v>
      </c>
      <c r="F21" s="3">
        <f>SUM(C18:C21)/SUM(D18:D21)</f>
        <v>0</v>
      </c>
      <c r="G21">
        <v>0</v>
      </c>
      <c r="H21">
        <v>2</v>
      </c>
      <c r="I21" s="3">
        <f t="shared" si="9"/>
        <v>0</v>
      </c>
      <c r="J21" s="3">
        <f>SUM(G18:G21)/SUM(H18:H21)</f>
        <v>6.6666666666666666E-2</v>
      </c>
      <c r="K21">
        <v>0</v>
      </c>
      <c r="L21">
        <v>3</v>
      </c>
      <c r="M21" s="4">
        <f t="shared" si="8"/>
        <v>0</v>
      </c>
      <c r="N21" s="4">
        <f>SUM(K18:K21)/SUM(L18:L21)*1000</f>
        <v>66.666666666666671</v>
      </c>
    </row>
    <row r="22" spans="1:14" x14ac:dyDescent="0.25">
      <c r="A22" s="8"/>
      <c r="B22" s="16">
        <v>45778</v>
      </c>
      <c r="C22" s="1">
        <v>0</v>
      </c>
      <c r="D22" s="1">
        <v>2</v>
      </c>
      <c r="E22" s="3">
        <f t="shared" si="1"/>
        <v>0</v>
      </c>
      <c r="F22" s="3">
        <f>SUM(C18:C22)/SUM(D18:D22)</f>
        <v>0</v>
      </c>
      <c r="G22">
        <v>0</v>
      </c>
      <c r="H22">
        <v>1</v>
      </c>
      <c r="I22" s="3">
        <f t="shared" si="9"/>
        <v>0</v>
      </c>
      <c r="J22" s="3">
        <f>SUM(G18:G22)/SUM(H18:H22)</f>
        <v>6.25E-2</v>
      </c>
      <c r="K22">
        <v>1</v>
      </c>
      <c r="L22">
        <v>1</v>
      </c>
      <c r="M22" s="4">
        <f>K22/L22*1000</f>
        <v>1000</v>
      </c>
      <c r="N22" s="4">
        <f>SUM(K18:K22)/SUM(L18:L22)*1000</f>
        <v>125</v>
      </c>
    </row>
    <row r="23" spans="1:14" x14ac:dyDescent="0.25">
      <c r="A23" s="8"/>
      <c r="B23" s="16">
        <v>45809</v>
      </c>
      <c r="C23">
        <v>0</v>
      </c>
      <c r="D23">
        <v>5</v>
      </c>
      <c r="E23" s="3">
        <f t="shared" si="1"/>
        <v>0</v>
      </c>
      <c r="F23" s="3">
        <f>SUM(C18:C23)/SUM(D18:D23)</f>
        <v>0</v>
      </c>
      <c r="G23">
        <v>1</v>
      </c>
      <c r="H23">
        <v>7</v>
      </c>
      <c r="I23" s="3">
        <f t="shared" si="9"/>
        <v>0.14285714285714285</v>
      </c>
      <c r="J23" s="3">
        <f>SUM(G18:G23)/SUM(H18:H23)</f>
        <v>8.6956521739130432E-2</v>
      </c>
      <c r="K23">
        <v>0</v>
      </c>
      <c r="L23">
        <v>7</v>
      </c>
      <c r="M23" s="4">
        <f t="shared" si="8"/>
        <v>0</v>
      </c>
      <c r="N23" s="4">
        <f>SUM(K18:K23)/SUM(L18:L23)*1000</f>
        <v>86.956521739130437</v>
      </c>
    </row>
    <row r="24" spans="1:14" x14ac:dyDescent="0.25">
      <c r="A24" s="8"/>
      <c r="B24" s="16">
        <v>45839</v>
      </c>
      <c r="C24">
        <v>0</v>
      </c>
      <c r="D24">
        <v>7</v>
      </c>
      <c r="E24" s="3">
        <f t="shared" si="1"/>
        <v>0</v>
      </c>
      <c r="F24" s="3">
        <f>SUM(C18:C24)/SUM(D18:D24)</f>
        <v>0</v>
      </c>
      <c r="G24">
        <v>0</v>
      </c>
      <c r="H24">
        <v>6</v>
      </c>
      <c r="I24" s="3">
        <f t="shared" si="9"/>
        <v>0</v>
      </c>
      <c r="J24" s="3">
        <f>SUM(G18:G24)/SUM(H18:H24)</f>
        <v>6.8965517241379309E-2</v>
      </c>
      <c r="K24">
        <v>0</v>
      </c>
      <c r="L24">
        <v>7</v>
      </c>
      <c r="M24" s="4">
        <f t="shared" si="8"/>
        <v>0</v>
      </c>
      <c r="N24" s="4">
        <f>SUM(K18:K24)/SUM(L18:L24)*1000</f>
        <v>66.666666666666671</v>
      </c>
    </row>
    <row r="25" spans="1:14" x14ac:dyDescent="0.25">
      <c r="A25" s="8"/>
      <c r="B25" s="16">
        <v>45870</v>
      </c>
      <c r="C25">
        <v>0</v>
      </c>
      <c r="D25">
        <v>1</v>
      </c>
      <c r="E25" s="3">
        <f t="shared" si="1"/>
        <v>0</v>
      </c>
      <c r="F25" s="3">
        <f>SUM(C18:C25)/SUM(D18:D25)</f>
        <v>0</v>
      </c>
      <c r="G25">
        <v>0</v>
      </c>
      <c r="H25">
        <v>2</v>
      </c>
      <c r="I25" s="3">
        <f t="shared" si="9"/>
        <v>0</v>
      </c>
      <c r="J25" s="3">
        <f>SUM(G18:G25)/SUM(H18:H25)</f>
        <v>6.4516129032258063E-2</v>
      </c>
      <c r="K25">
        <v>0</v>
      </c>
      <c r="L25">
        <v>2</v>
      </c>
      <c r="M25" s="4">
        <f t="shared" si="8"/>
        <v>0</v>
      </c>
      <c r="N25" s="4">
        <f>SUM(K18:K25)/SUM(L18:L25)*1000</f>
        <v>62.5</v>
      </c>
    </row>
    <row r="26" spans="1:14" x14ac:dyDescent="0.25">
      <c r="A26" s="8"/>
      <c r="B26" s="16">
        <v>45901</v>
      </c>
      <c r="C26">
        <v>0</v>
      </c>
      <c r="D26">
        <v>2</v>
      </c>
      <c r="E26" s="3">
        <f t="shared" si="1"/>
        <v>0</v>
      </c>
      <c r="F26" s="3">
        <f>SUM(C18:C26)/SUM(D18:D26)</f>
        <v>0</v>
      </c>
      <c r="G26">
        <v>1</v>
      </c>
      <c r="H26">
        <v>2</v>
      </c>
      <c r="I26" s="3">
        <f t="shared" si="9"/>
        <v>0.5</v>
      </c>
      <c r="J26" s="3">
        <f>SUM(G18:G26)/SUM(H18:H26)</f>
        <v>9.0909090909090912E-2</v>
      </c>
      <c r="K26">
        <v>0</v>
      </c>
      <c r="L26">
        <v>2</v>
      </c>
      <c r="M26" s="4">
        <f t="shared" si="8"/>
        <v>0</v>
      </c>
      <c r="N26" s="4">
        <f>SUM(K18:K26)/SUM(L18:L26)*1000</f>
        <v>58.823529411764703</v>
      </c>
    </row>
    <row r="27" spans="1:14" x14ac:dyDescent="0.25">
      <c r="A27" s="8"/>
      <c r="B27" s="16">
        <v>45931</v>
      </c>
      <c r="C27">
        <v>0</v>
      </c>
      <c r="D27">
        <v>1</v>
      </c>
      <c r="E27" s="3">
        <f t="shared" si="1"/>
        <v>0</v>
      </c>
      <c r="F27" s="3">
        <f>SUM(C18:C27)/SUM(D18:D27)</f>
        <v>0</v>
      </c>
      <c r="G27">
        <v>0</v>
      </c>
      <c r="H27">
        <v>2</v>
      </c>
      <c r="I27" s="3">
        <f t="shared" si="9"/>
        <v>0</v>
      </c>
      <c r="J27" s="3">
        <f>SUM(G18:G27)/SUM(H18:H27)</f>
        <v>8.5714285714285715E-2</v>
      </c>
      <c r="K27">
        <v>1</v>
      </c>
      <c r="L27">
        <v>2</v>
      </c>
      <c r="M27" s="4">
        <f t="shared" si="8"/>
        <v>500</v>
      </c>
      <c r="N27" s="4">
        <f>SUM(K18:K27)/SUM(L18:L27)*1000</f>
        <v>83.333333333333329</v>
      </c>
    </row>
    <row r="28" spans="1:14" x14ac:dyDescent="0.25">
      <c r="A28" s="8"/>
      <c r="B28" s="16">
        <v>45962</v>
      </c>
      <c r="C28">
        <v>0</v>
      </c>
      <c r="D28">
        <v>2</v>
      </c>
      <c r="E28" s="3">
        <f t="shared" si="1"/>
        <v>0</v>
      </c>
      <c r="F28" s="3">
        <f>SUM(C18:C28)/SUM(D18:D28)</f>
        <v>0</v>
      </c>
      <c r="G28">
        <v>1</v>
      </c>
      <c r="H28">
        <v>1</v>
      </c>
      <c r="I28" s="3">
        <f t="shared" si="9"/>
        <v>1</v>
      </c>
      <c r="J28" s="3">
        <f>SUM(G18:G28)/SUM(H18:H28)</f>
        <v>0.1111111111111111</v>
      </c>
      <c r="K28">
        <v>0</v>
      </c>
      <c r="L28">
        <v>1</v>
      </c>
      <c r="M28" s="4">
        <f t="shared" si="8"/>
        <v>0</v>
      </c>
      <c r="N28" s="4">
        <f>SUM(K18:K28)/SUM(L18:L28)*1000</f>
        <v>81.081081081081081</v>
      </c>
    </row>
    <row r="29" spans="1:14" x14ac:dyDescent="0.25">
      <c r="A29" s="8"/>
      <c r="B29" s="16">
        <v>45992</v>
      </c>
      <c r="C29">
        <v>0</v>
      </c>
      <c r="D29">
        <v>5</v>
      </c>
      <c r="E29" s="3">
        <v>0</v>
      </c>
      <c r="F29" s="3">
        <f>SUM(C18:C29)/SUM(D18:D29)</f>
        <v>0</v>
      </c>
      <c r="G29">
        <v>0</v>
      </c>
      <c r="H29">
        <v>0</v>
      </c>
      <c r="I29" s="3">
        <v>0</v>
      </c>
      <c r="J29" s="3">
        <f>SUM(G18:G29)/SUM(H18:H29)</f>
        <v>0.1111111111111111</v>
      </c>
      <c r="K29">
        <v>0</v>
      </c>
      <c r="L29">
        <v>5</v>
      </c>
      <c r="M29" s="4">
        <v>0</v>
      </c>
      <c r="N29" s="4">
        <f>SUM(K18:K29)/SUM(L18:L29)*1000</f>
        <v>71.428571428571431</v>
      </c>
    </row>
    <row r="30" spans="1:14" x14ac:dyDescent="0.25">
      <c r="A30" s="8"/>
      <c r="B30" s="16">
        <v>46023</v>
      </c>
      <c r="C30">
        <v>0</v>
      </c>
      <c r="D30">
        <v>3</v>
      </c>
      <c r="E30" s="3">
        <v>0</v>
      </c>
      <c r="F30" s="3">
        <f t="shared" ref="F30:F32" si="10">SUM(C19:C30)/SUM(D19:D30)</f>
        <v>0</v>
      </c>
      <c r="G30">
        <v>0</v>
      </c>
      <c r="H30">
        <v>4</v>
      </c>
      <c r="I30" s="3">
        <f t="shared" si="9"/>
        <v>0</v>
      </c>
      <c r="J30" s="3">
        <f t="shared" ref="J30:J32" si="11">SUM(G19:G30)/SUM(H19:H30)</f>
        <v>0.10526315789473684</v>
      </c>
      <c r="K30">
        <v>0</v>
      </c>
      <c r="L30">
        <v>0</v>
      </c>
      <c r="M30" s="4">
        <v>0</v>
      </c>
      <c r="N30" s="4">
        <f t="shared" ref="N30:N32" si="12">SUM(K19:K30)/SUM(L19:L30)*1000</f>
        <v>50</v>
      </c>
    </row>
    <row r="31" spans="1:14" x14ac:dyDescent="0.25">
      <c r="A31" s="8"/>
      <c r="B31" s="16">
        <v>46054</v>
      </c>
      <c r="C31">
        <v>0</v>
      </c>
      <c r="D31">
        <v>2</v>
      </c>
      <c r="E31" s="3">
        <v>0</v>
      </c>
      <c r="F31" s="3">
        <f t="shared" si="10"/>
        <v>0</v>
      </c>
      <c r="G31">
        <v>2</v>
      </c>
      <c r="H31">
        <v>4</v>
      </c>
      <c r="I31" s="3">
        <f t="shared" si="9"/>
        <v>0.5</v>
      </c>
      <c r="J31" s="3">
        <f t="shared" si="11"/>
        <v>0.16666666666666666</v>
      </c>
      <c r="K31">
        <v>0</v>
      </c>
      <c r="L31">
        <v>1</v>
      </c>
      <c r="M31" s="4">
        <v>0</v>
      </c>
      <c r="N31" s="4">
        <f t="shared" si="12"/>
        <v>57.142857142857139</v>
      </c>
    </row>
    <row r="32" spans="1:14" x14ac:dyDescent="0.25">
      <c r="A32" s="8"/>
      <c r="B32" s="17">
        <v>46082</v>
      </c>
      <c r="C32" s="5">
        <v>0</v>
      </c>
      <c r="D32" s="5">
        <v>3</v>
      </c>
      <c r="E32" s="6">
        <v>0</v>
      </c>
      <c r="F32" s="6">
        <f t="shared" si="10"/>
        <v>0</v>
      </c>
      <c r="G32" s="5">
        <v>0</v>
      </c>
      <c r="H32" s="5">
        <v>3</v>
      </c>
      <c r="I32" s="6">
        <f t="shared" si="9"/>
        <v>0</v>
      </c>
      <c r="J32" s="6">
        <f t="shared" si="11"/>
        <v>0.14705882352941177</v>
      </c>
      <c r="K32" s="5">
        <v>0</v>
      </c>
      <c r="L32" s="5">
        <v>2</v>
      </c>
      <c r="M32" s="7">
        <v>0</v>
      </c>
      <c r="N32" s="7">
        <f t="shared" si="12"/>
        <v>60.606060606060609</v>
      </c>
    </row>
  </sheetData>
  <mergeCells count="7">
    <mergeCell ref="A1:A2"/>
    <mergeCell ref="A3:A17"/>
    <mergeCell ref="A18:A32"/>
    <mergeCell ref="G1:J1"/>
    <mergeCell ref="K1:N1"/>
    <mergeCell ref="C1:F1"/>
    <mergeCell ref="B1:B2"/>
  </mergeCells>
  <phoneticPr fontId="3" type="noConversion"/>
  <pageMargins left="0.511811024" right="0.511811024" top="0.78740157499999996" bottom="0.78740157499999996" header="0.31496062000000002" footer="0.31496062000000002"/>
  <ignoredErrors>
    <ignoredError sqref="F1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3CCA8A5E7E947B7A3C23E0C30B31E" ma:contentTypeVersion="14" ma:contentTypeDescription="Crie um novo documento." ma:contentTypeScope="" ma:versionID="46dc0c21fce8431b5b3ba6f18107443c">
  <xsd:schema xmlns:xsd="http://www.w3.org/2001/XMLSchema" xmlns:xs="http://www.w3.org/2001/XMLSchema" xmlns:p="http://schemas.microsoft.com/office/2006/metadata/properties" xmlns:ns1="http://schemas.microsoft.com/sharepoint/v3" xmlns:ns3="06cd0225-4785-4c0f-a119-4e5e797c9883" targetNamespace="http://schemas.microsoft.com/office/2006/metadata/properties" ma:root="true" ma:fieldsID="bfcb3ba667dcbc5c133047d6bc8cb5ae" ns1:_="" ns3:_="">
    <xsd:import namespace="http://schemas.microsoft.com/sharepoint/v3"/>
    <xsd:import namespace="06cd0225-4785-4c0f-a119-4e5e797c98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d0225-4785-4c0f-a119-4e5e797c98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6cd0225-4785-4c0f-a119-4e5e797c988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0A07FB-5A5F-4DD9-9C5D-06EC7D0E8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F244AE-5086-4EF9-8284-16D754863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cd0225-4785-4c0f-a119-4e5e797c9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77954F-29F3-4D02-8E16-F4C44948362B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6cd0225-4785-4c0f-a119-4e5e797c98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DSEI Planificado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Brian Lacerda</dc:creator>
  <cp:lastModifiedBy>Alec Brian Lacerda</cp:lastModifiedBy>
  <dcterms:created xsi:type="dcterms:W3CDTF">2026-01-20T18:24:20Z</dcterms:created>
  <dcterms:modified xsi:type="dcterms:W3CDTF">2026-06-03T08:55:36Z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0x010100CEB3CCA8A5E7E947B7A3C23E0C30B31E</vt:lpwstr>
  </property>
</Properties>
</file>