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RT76605\Documents\RR\"/>
    </mc:Choice>
  </mc:AlternateContent>
  <xr:revisionPtr revIDLastSave="0" documentId="13_ncr:1_{927DE0F9-401E-4CFD-8218-1DAE6EE7CCA1}" xr6:coauthVersionLast="47" xr6:coauthVersionMax="47" xr10:uidLastSave="{00000000-0000-0000-0000-000000000000}"/>
  <bookViews>
    <workbookView xWindow="-120" yWindow="-120" windowWidth="20730" windowHeight="11160" xr2:uid="{6F710390-80D2-4ED7-9452-EC4F3597E910}"/>
  </bookViews>
  <sheets>
    <sheet name="Capital" sheetId="1" r:id="rId1"/>
    <sheet name="Centro Nort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0" i="2" l="1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19" i="2"/>
  <c r="O145" i="2"/>
  <c r="O136" i="2"/>
  <c r="J137" i="2"/>
  <c r="J138" i="2"/>
  <c r="J139" i="2"/>
  <c r="J140" i="2"/>
  <c r="J141" i="2"/>
  <c r="J142" i="2"/>
  <c r="J143" i="2"/>
  <c r="J144" i="2"/>
  <c r="J145" i="2"/>
  <c r="J136" i="2"/>
  <c r="L137" i="2"/>
  <c r="L138" i="2"/>
  <c r="L139" i="2"/>
  <c r="L140" i="2"/>
  <c r="L141" i="2"/>
  <c r="L142" i="2"/>
  <c r="L143" i="2"/>
  <c r="L144" i="2"/>
  <c r="L145" i="2"/>
  <c r="K145" i="2"/>
  <c r="H145" i="2"/>
  <c r="M145" i="2"/>
  <c r="N145" i="2"/>
  <c r="N137" i="2"/>
  <c r="N138" i="2"/>
  <c r="N139" i="2"/>
  <c r="N140" i="2"/>
  <c r="N141" i="2"/>
  <c r="N142" i="2"/>
  <c r="N143" i="2"/>
  <c r="N144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M136" i="2"/>
  <c r="L129" i="2"/>
  <c r="L130" i="2"/>
  <c r="L131" i="2"/>
  <c r="L132" i="2"/>
  <c r="L133" i="2"/>
  <c r="L134" i="2"/>
  <c r="L135" i="2"/>
  <c r="L136" i="2"/>
  <c r="L128" i="2"/>
  <c r="P108" i="2"/>
  <c r="K136" i="2"/>
  <c r="J128" i="2"/>
  <c r="J129" i="2"/>
  <c r="J130" i="2"/>
  <c r="J131" i="2"/>
  <c r="J132" i="2"/>
  <c r="J133" i="2"/>
  <c r="J134" i="2"/>
  <c r="J135" i="2"/>
  <c r="I128" i="2"/>
  <c r="I129" i="2"/>
  <c r="I130" i="2"/>
  <c r="I131" i="2"/>
  <c r="I132" i="2"/>
  <c r="I133" i="2"/>
  <c r="I134" i="2"/>
  <c r="I135" i="2"/>
  <c r="I136" i="2"/>
  <c r="I127" i="2"/>
  <c r="H136" i="2"/>
  <c r="G136" i="2"/>
  <c r="W110" i="2"/>
  <c r="W109" i="2"/>
  <c r="R118" i="2"/>
  <c r="Q118" i="2"/>
  <c r="AC118" i="2"/>
  <c r="AB118" i="2"/>
  <c r="U118" i="2"/>
  <c r="V118" i="2"/>
  <c r="T118" i="2"/>
  <c r="AB111" i="2"/>
  <c r="AC111" i="2"/>
  <c r="AB112" i="2"/>
  <c r="AC112" i="2"/>
  <c r="AB113" i="2"/>
  <c r="AC113" i="2"/>
  <c r="AB114" i="2"/>
  <c r="AC114" i="2"/>
  <c r="AB115" i="2"/>
  <c r="AC115" i="2"/>
  <c r="AB116" i="2"/>
  <c r="AC116" i="2"/>
  <c r="AB117" i="2"/>
  <c r="AC117" i="2"/>
  <c r="AC110" i="2"/>
  <c r="AB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10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J111" i="2"/>
  <c r="J120" i="2" s="1"/>
  <c r="J112" i="2"/>
  <c r="J121" i="2" s="1"/>
  <c r="J113" i="2"/>
  <c r="J122" i="2" s="1"/>
  <c r="J114" i="2"/>
  <c r="J123" i="2" s="1"/>
  <c r="J115" i="2"/>
  <c r="J124" i="2" s="1"/>
  <c r="J116" i="2"/>
  <c r="J125" i="2" s="1"/>
  <c r="J117" i="2"/>
  <c r="J126" i="2" s="1"/>
  <c r="J118" i="2"/>
  <c r="J127" i="2" s="1"/>
  <c r="I111" i="2"/>
  <c r="W111" i="2" s="1"/>
  <c r="I112" i="2"/>
  <c r="W112" i="2" s="1"/>
  <c r="I113" i="2"/>
  <c r="W113" i="2" s="1"/>
  <c r="I114" i="2"/>
  <c r="W114" i="2" s="1"/>
  <c r="I115" i="2"/>
  <c r="I124" i="2" s="1"/>
  <c r="W124" i="2" s="1"/>
  <c r="I116" i="2"/>
  <c r="I125" i="2" s="1"/>
  <c r="W125" i="2" s="1"/>
  <c r="I117" i="2"/>
  <c r="W117" i="2" s="1"/>
  <c r="I118" i="2"/>
  <c r="W127" i="2" s="1"/>
  <c r="J110" i="2"/>
  <c r="J119" i="2" s="1"/>
  <c r="I110" i="2"/>
  <c r="I119" i="2" s="1"/>
  <c r="S110" i="2"/>
  <c r="S111" i="2"/>
  <c r="S112" i="2"/>
  <c r="S113" i="2"/>
  <c r="S114" i="2"/>
  <c r="S115" i="2"/>
  <c r="S116" i="2"/>
  <c r="S117" i="2"/>
  <c r="S118" i="2"/>
  <c r="I123" i="2" l="1"/>
  <c r="W123" i="2" s="1"/>
  <c r="W118" i="2"/>
  <c r="I126" i="2"/>
  <c r="W126" i="2" s="1"/>
  <c r="I122" i="2"/>
  <c r="W122" i="2" s="1"/>
  <c r="W116" i="2"/>
  <c r="W119" i="2"/>
  <c r="I120" i="2"/>
  <c r="W120" i="2" s="1"/>
  <c r="W115" i="2"/>
  <c r="I121" i="2"/>
  <c r="W121" i="2" s="1"/>
  <c r="J12" i="2" l="1"/>
  <c r="J13" i="2"/>
  <c r="J14" i="2"/>
  <c r="J23" i="2" s="1"/>
  <c r="J32" i="2" s="1"/>
  <c r="J41" i="2" s="1"/>
  <c r="J50" i="2" s="1"/>
  <c r="J59" i="2" s="1"/>
  <c r="J68" i="2" s="1"/>
  <c r="J77" i="2" s="1"/>
  <c r="J86" i="2" s="1"/>
  <c r="J95" i="2" s="1"/>
  <c r="J104" i="2" s="1"/>
  <c r="J15" i="2"/>
  <c r="J24" i="2" s="1"/>
  <c r="J33" i="2" s="1"/>
  <c r="J42" i="2" s="1"/>
  <c r="J51" i="2" s="1"/>
  <c r="J60" i="2" s="1"/>
  <c r="J69" i="2" s="1"/>
  <c r="J78" i="2" s="1"/>
  <c r="J87" i="2" s="1"/>
  <c r="J96" i="2" s="1"/>
  <c r="J105" i="2" s="1"/>
  <c r="J16" i="2"/>
  <c r="J25" i="2" s="1"/>
  <c r="J34" i="2" s="1"/>
  <c r="J43" i="2" s="1"/>
  <c r="J52" i="2" s="1"/>
  <c r="J61" i="2" s="1"/>
  <c r="J70" i="2" s="1"/>
  <c r="J79" i="2" s="1"/>
  <c r="J88" i="2" s="1"/>
  <c r="J97" i="2" s="1"/>
  <c r="J106" i="2" s="1"/>
  <c r="J17" i="2"/>
  <c r="J26" i="2" s="1"/>
  <c r="J35" i="2" s="1"/>
  <c r="J44" i="2" s="1"/>
  <c r="J53" i="2" s="1"/>
  <c r="J62" i="2" s="1"/>
  <c r="J71" i="2" s="1"/>
  <c r="J80" i="2" s="1"/>
  <c r="J89" i="2" s="1"/>
  <c r="J98" i="2" s="1"/>
  <c r="J107" i="2" s="1"/>
  <c r="J18" i="2"/>
  <c r="J27" i="2" s="1"/>
  <c r="J36" i="2" s="1"/>
  <c r="J45" i="2" s="1"/>
  <c r="J54" i="2" s="1"/>
  <c r="J63" i="2" s="1"/>
  <c r="J72" i="2" s="1"/>
  <c r="J81" i="2" s="1"/>
  <c r="J90" i="2" s="1"/>
  <c r="J99" i="2" s="1"/>
  <c r="J108" i="2" s="1"/>
  <c r="J19" i="2"/>
  <c r="J28" i="2" s="1"/>
  <c r="J37" i="2" s="1"/>
  <c r="J46" i="2" s="1"/>
  <c r="J55" i="2" s="1"/>
  <c r="J64" i="2" s="1"/>
  <c r="J73" i="2" s="1"/>
  <c r="J82" i="2" s="1"/>
  <c r="J91" i="2" s="1"/>
  <c r="J100" i="2" s="1"/>
  <c r="J109" i="2" s="1"/>
  <c r="J21" i="2"/>
  <c r="J30" i="2" s="1"/>
  <c r="J39" i="2" s="1"/>
  <c r="J48" i="2" s="1"/>
  <c r="J57" i="2" s="1"/>
  <c r="J66" i="2" s="1"/>
  <c r="J75" i="2" s="1"/>
  <c r="J84" i="2" s="1"/>
  <c r="J93" i="2" s="1"/>
  <c r="J102" i="2" s="1"/>
  <c r="J22" i="2"/>
  <c r="J31" i="2" s="1"/>
  <c r="J40" i="2" s="1"/>
  <c r="J49" i="2" s="1"/>
  <c r="J58" i="2" s="1"/>
  <c r="J67" i="2" s="1"/>
  <c r="J76" i="2" s="1"/>
  <c r="J85" i="2" s="1"/>
  <c r="J94" i="2" s="1"/>
  <c r="J103" i="2" s="1"/>
  <c r="J11" i="2"/>
  <c r="J20" i="2" s="1"/>
  <c r="J29" i="2" s="1"/>
  <c r="J38" i="2" s="1"/>
  <c r="J47" i="2" s="1"/>
  <c r="J56" i="2" s="1"/>
  <c r="J65" i="2" s="1"/>
  <c r="J74" i="2" s="1"/>
  <c r="J83" i="2" s="1"/>
  <c r="J92" i="2" s="1"/>
  <c r="J101" i="2" s="1"/>
  <c r="I12" i="2"/>
  <c r="I21" i="2" s="1"/>
  <c r="I30" i="2" s="1"/>
  <c r="I39" i="2" s="1"/>
  <c r="I48" i="2" s="1"/>
  <c r="I57" i="2" s="1"/>
  <c r="I66" i="2" s="1"/>
  <c r="I75" i="2" s="1"/>
  <c r="I84" i="2" s="1"/>
  <c r="I93" i="2" s="1"/>
  <c r="I102" i="2" s="1"/>
  <c r="I13" i="2"/>
  <c r="I22" i="2" s="1"/>
  <c r="I31" i="2" s="1"/>
  <c r="I40" i="2" s="1"/>
  <c r="I49" i="2" s="1"/>
  <c r="I58" i="2" s="1"/>
  <c r="I67" i="2" s="1"/>
  <c r="I76" i="2" s="1"/>
  <c r="I85" i="2" s="1"/>
  <c r="I94" i="2" s="1"/>
  <c r="I103" i="2" s="1"/>
  <c r="I14" i="2"/>
  <c r="I23" i="2" s="1"/>
  <c r="I32" i="2" s="1"/>
  <c r="I41" i="2" s="1"/>
  <c r="I50" i="2" s="1"/>
  <c r="I59" i="2" s="1"/>
  <c r="I68" i="2" s="1"/>
  <c r="I77" i="2" s="1"/>
  <c r="I86" i="2" s="1"/>
  <c r="I95" i="2" s="1"/>
  <c r="I104" i="2" s="1"/>
  <c r="I15" i="2"/>
  <c r="I24" i="2" s="1"/>
  <c r="I33" i="2" s="1"/>
  <c r="I42" i="2" s="1"/>
  <c r="I51" i="2" s="1"/>
  <c r="I60" i="2" s="1"/>
  <c r="I69" i="2" s="1"/>
  <c r="I78" i="2" s="1"/>
  <c r="I87" i="2" s="1"/>
  <c r="I96" i="2" s="1"/>
  <c r="I105" i="2" s="1"/>
  <c r="I16" i="2"/>
  <c r="I25" i="2" s="1"/>
  <c r="I34" i="2" s="1"/>
  <c r="I43" i="2" s="1"/>
  <c r="I52" i="2" s="1"/>
  <c r="I61" i="2" s="1"/>
  <c r="I70" i="2" s="1"/>
  <c r="I79" i="2" s="1"/>
  <c r="I88" i="2" s="1"/>
  <c r="I97" i="2" s="1"/>
  <c r="I106" i="2" s="1"/>
  <c r="I17" i="2"/>
  <c r="I26" i="2" s="1"/>
  <c r="I35" i="2" s="1"/>
  <c r="I44" i="2" s="1"/>
  <c r="I53" i="2" s="1"/>
  <c r="I62" i="2" s="1"/>
  <c r="I71" i="2" s="1"/>
  <c r="I80" i="2" s="1"/>
  <c r="I89" i="2" s="1"/>
  <c r="I98" i="2" s="1"/>
  <c r="I107" i="2" s="1"/>
  <c r="I18" i="2"/>
  <c r="I19" i="2"/>
  <c r="I28" i="2" s="1"/>
  <c r="I37" i="2" s="1"/>
  <c r="I46" i="2" s="1"/>
  <c r="I55" i="2" s="1"/>
  <c r="I64" i="2" s="1"/>
  <c r="I73" i="2" s="1"/>
  <c r="I82" i="2" s="1"/>
  <c r="I91" i="2" s="1"/>
  <c r="I100" i="2" s="1"/>
  <c r="I109" i="2" s="1"/>
  <c r="I27" i="2"/>
  <c r="I36" i="2" s="1"/>
  <c r="I45" i="2" s="1"/>
  <c r="I54" i="2" s="1"/>
  <c r="I63" i="2" s="1"/>
  <c r="I72" i="2" s="1"/>
  <c r="I81" i="2" s="1"/>
  <c r="I90" i="2" s="1"/>
  <c r="I99" i="2" s="1"/>
  <c r="I108" i="2" s="1"/>
  <c r="I11" i="2"/>
  <c r="I20" i="2" s="1"/>
  <c r="I29" i="2" s="1"/>
  <c r="I38" i="2" s="1"/>
  <c r="I47" i="2" s="1"/>
  <c r="I56" i="2" s="1"/>
  <c r="I65" i="2" s="1"/>
  <c r="I74" i="2" s="1"/>
  <c r="I83" i="2" s="1"/>
  <c r="I92" i="2" s="1"/>
  <c r="I101" i="2" s="1"/>
  <c r="P93" i="2"/>
  <c r="P102" i="2" s="1"/>
  <c r="P94" i="2"/>
  <c r="P103" i="2" s="1"/>
  <c r="P95" i="2"/>
  <c r="P104" i="2" s="1"/>
  <c r="P96" i="2"/>
  <c r="P105" i="2" s="1"/>
  <c r="P97" i="2"/>
  <c r="P106" i="2" s="1"/>
  <c r="P98" i="2"/>
  <c r="P107" i="2" s="1"/>
  <c r="P99" i="2"/>
  <c r="P100" i="2"/>
  <c r="P109" i="2" s="1"/>
  <c r="P92" i="2"/>
  <c r="P101" i="2" s="1"/>
  <c r="N92" i="2"/>
  <c r="N101" i="2" s="1"/>
  <c r="N100" i="2"/>
  <c r="N109" i="2" s="1"/>
  <c r="N99" i="2"/>
  <c r="N108" i="2" s="1"/>
  <c r="N93" i="2"/>
  <c r="N102" i="2" s="1"/>
  <c r="N94" i="2"/>
  <c r="N103" i="2" s="1"/>
  <c r="N95" i="2"/>
  <c r="N104" i="2" s="1"/>
  <c r="N96" i="2"/>
  <c r="N105" i="2" s="1"/>
  <c r="N97" i="2"/>
  <c r="N106" i="2" s="1"/>
  <c r="N98" i="2"/>
  <c r="N107" i="2" s="1"/>
  <c r="W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92" i="2"/>
  <c r="W101" i="2" l="1"/>
  <c r="W106" i="2"/>
  <c r="W105" i="2"/>
  <c r="W104" i="2"/>
  <c r="W103" i="2"/>
  <c r="W108" i="2"/>
  <c r="W102" i="2"/>
  <c r="W107" i="2"/>
</calcChain>
</file>

<file path=xl/sharedStrings.xml><?xml version="1.0" encoding="utf-8"?>
<sst xmlns="http://schemas.openxmlformats.org/spreadsheetml/2006/main" count="1270" uniqueCount="73">
  <si>
    <t>UF</t>
  </si>
  <si>
    <t>Região de Saúde</t>
  </si>
  <si>
    <t>Município</t>
  </si>
  <si>
    <t>Código IBGE município</t>
  </si>
  <si>
    <t>Mês</t>
  </si>
  <si>
    <t>Ano</t>
  </si>
  <si>
    <t xml:space="preserve">Número de doses aplicadas de polio inativa </t>
  </si>
  <si>
    <t xml:space="preserve">Crianças menores de 1 ano </t>
  </si>
  <si>
    <t>Número de doses aplicadas acumuladas</t>
  </si>
  <si>
    <t>Crianças acumuladas</t>
  </si>
  <si>
    <t xml:space="preserve">Número de casos de sífilis congênita </t>
  </si>
  <si>
    <t>Sífilis congênita acumulada</t>
  </si>
  <si>
    <t xml:space="preserve">Número de nascidos vivos </t>
  </si>
  <si>
    <t>Nascidos vivos acumulados</t>
  </si>
  <si>
    <t xml:space="preserve">População cadastrada </t>
  </si>
  <si>
    <t xml:space="preserve">População estimada </t>
  </si>
  <si>
    <t>C3  - Testes para sífilis, HIV e HEPBC no 1º trimestre</t>
  </si>
  <si>
    <t>C3  - Testes para sífilis e HIV no 3º trimestre</t>
  </si>
  <si>
    <t>Denominador SIAPS</t>
  </si>
  <si>
    <t>Percentual de cobertura de APS</t>
  </si>
  <si>
    <t>Cobertura vacinal de poliomielite inativa</t>
  </si>
  <si>
    <t>Taxa de incidência de sífilis congênita</t>
  </si>
  <si>
    <t>Esfera</t>
  </si>
  <si>
    <t>(Mensal)</t>
  </si>
  <si>
    <t>(Acumulado)</t>
  </si>
  <si>
    <t>RR</t>
  </si>
  <si>
    <t>CAPITAL</t>
  </si>
  <si>
    <t xml:space="preserve">BOA VISTA </t>
  </si>
  <si>
    <t>Fevereiro</t>
  </si>
  <si>
    <t>Municipal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</si>
  <si>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</si>
  <si>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</si>
  <si>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</si>
  <si>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</si>
  <si>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</si>
  <si>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</si>
  <si>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</si>
  <si>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</si>
  <si>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</si>
  <si>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</si>
  <si>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</si>
  <si>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Número de doses aplicadas</t>
  </si>
  <si>
    <t>SC Acum</t>
  </si>
  <si>
    <t>NV Acum</t>
  </si>
  <si>
    <t xml:space="preserve">Número de casos de sífilis em gestantes </t>
  </si>
  <si>
    <t>SG acum</t>
  </si>
  <si>
    <t>Número de cadastros</t>
  </si>
  <si>
    <t>Total da população estimada</t>
  </si>
  <si>
    <t>Percentual de cadastros em relação ao estimado</t>
  </si>
  <si>
    <t>Taxa de incidência de sífilis congênita acumulada</t>
  </si>
  <si>
    <t>Taxa de incidência de sífilis em gestante</t>
  </si>
  <si>
    <t>Taxa de incidência de sífilis em gestante acumulada</t>
  </si>
  <si>
    <t>Testes 1º trimestre</t>
  </si>
  <si>
    <t>Testes 3º trimestre</t>
  </si>
  <si>
    <t>CENTRO NORTE</t>
  </si>
  <si>
    <t>AMAJARI</t>
  </si>
  <si>
    <t xml:space="preserve">Janeiro </t>
  </si>
  <si>
    <t>ALTO ALEGRE</t>
  </si>
  <si>
    <t>BONFIM</t>
  </si>
  <si>
    <t>CANTA</t>
  </si>
  <si>
    <t>MUCAJAI</t>
  </si>
  <si>
    <t>NORMANDIA</t>
  </si>
  <si>
    <t>PACARAIMA</t>
  </si>
  <si>
    <t>UIRAMUTA</t>
  </si>
  <si>
    <t>REGIONAL</t>
  </si>
  <si>
    <t>-</t>
  </si>
  <si>
    <t xml:space="preserve">Regional </t>
  </si>
  <si>
    <t xml:space="preserve">Fevereiro </t>
  </si>
  <si>
    <t xml:space="preserve">Maio </t>
  </si>
  <si>
    <t xml:space="preserve">Julho </t>
  </si>
  <si>
    <t xml:space="preserve">Agosto </t>
  </si>
  <si>
    <t xml:space="preserve">Novembro </t>
  </si>
  <si>
    <t xml:space="preserve">Dezembro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</si>
</sst>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C0000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104861"/>
        <bgColor rgb="FF000000"/>
      </patternFill>
    </fill>
    <fill>
      <patternFill patternType="solid">
        <fgColor theme="3"/>
        <bgColor rgb="FF000000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6" fillId="0" borderId="0" xfId="0" applyFont="1"/>
    <xf numFmtId="9" fontId="1" fillId="2" borderId="0" xfId="1" applyFont="1" applyFill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6" fillId="5" borderId="0" xfId="0" applyFont="1" applyFill="1"/>
    <xf numFmtId="164" fontId="1" fillId="2" borderId="0" xfId="1" applyNumberFormat="1" applyFont="1" applyFill="1" applyAlignment="1">
      <alignment horizontal="center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0C91-ECD4-41EA-8E6F-4EA1EA169DDE}">
  <dimension ref="A1:Y25"/>
  <sheetViews>
    <sheetView tabSelected="1" topLeftCell="A7" workbookViewId="0">
      <selection activeCell="H18" sqref="H18"/>
    </sheetView>
  </sheetViews>
  <sheetFormatPr defaultRowHeight="15" x14ac:dyDescent="0.25"/>
  <cols>
    <col min="1" max="1" width="3" bestFit="1" customWidth="1"/>
    <col min="2" max="2" width="8.42578125" bestFit="1" customWidth="1"/>
    <col min="3" max="3" width="8.85546875" bestFit="1" customWidth="1"/>
    <col min="4" max="4" width="8.5703125" bestFit="1" customWidth="1"/>
    <col min="5" max="5" width="8.7109375" bestFit="1" customWidth="1"/>
    <col min="6" max="6" width="5" bestFit="1" customWidth="1"/>
    <col min="7" max="7" width="10.5703125" bestFit="1" customWidth="1"/>
    <col min="8" max="8" width="7.85546875" bestFit="1" customWidth="1"/>
    <col min="9" max="14" width="7.85546875" customWidth="1"/>
    <col min="19" max="19" width="12" customWidth="1"/>
    <col min="20" max="20" width="9.7109375" customWidth="1"/>
    <col min="21" max="23" width="8.85546875" bestFit="1" customWidth="1"/>
    <col min="24" max="24" width="8.5703125" bestFit="1" customWidth="1"/>
    <col min="25" max="25" width="8.28515625" bestFit="1" customWidth="1"/>
  </cols>
  <sheetData>
    <row r="1" spans="1:25" ht="94.5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5" t="s">
        <v>8</v>
      </c>
      <c r="J1" s="5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5" t="s">
        <v>16</v>
      </c>
      <c r="R1" s="5" t="s">
        <v>17</v>
      </c>
      <c r="S1" s="5" t="s">
        <v>18</v>
      </c>
      <c r="T1" s="13" t="s">
        <v>19</v>
      </c>
      <c r="U1" s="5" t="s">
        <v>20</v>
      </c>
      <c r="V1" s="5" t="s">
        <v>20</v>
      </c>
      <c r="W1" s="12" t="s">
        <v>21</v>
      </c>
      <c r="X1" s="12" t="s">
        <v>21</v>
      </c>
      <c r="Y1" s="13" t="s">
        <v>22</v>
      </c>
    </row>
    <row r="2" spans="1:25" ht="27" x14ac:dyDescent="0.25">
      <c r="A2" s="13"/>
      <c r="B2" s="13"/>
      <c r="C2" s="13"/>
      <c r="D2" s="13"/>
      <c r="E2" s="13"/>
      <c r="F2" s="13"/>
      <c r="G2" s="13"/>
      <c r="H2" s="13"/>
      <c r="I2" s="5"/>
      <c r="J2" s="5"/>
      <c r="K2" s="13"/>
      <c r="L2" s="13"/>
      <c r="M2" s="13"/>
      <c r="N2" s="13"/>
      <c r="O2" s="13"/>
      <c r="P2" s="13"/>
      <c r="Q2" s="5"/>
      <c r="R2" s="5"/>
      <c r="S2" s="5"/>
      <c r="T2" s="13"/>
      <c r="U2" s="5" t="s">
        <v>23</v>
      </c>
      <c r="V2" s="5" t="s">
        <v>24</v>
      </c>
      <c r="W2" s="5" t="s">
        <v>23</v>
      </c>
      <c r="X2" s="5" t="s">
        <v>24</v>
      </c>
      <c r="Y2" s="13"/>
    </row>
    <row r="3" spans="1:25" x14ac:dyDescent="0.25">
      <c r="A3" s="1" t="s">
        <v>25</v>
      </c>
      <c r="B3" s="1" t="s">
        <v>26</v>
      </c>
      <c r="C3" s="1" t="s">
        <v>27</v>
      </c>
      <c r="D3" s="2">
        <v>140010</v>
      </c>
      <c r="E3" s="2" t="s">
        <v>28</v>
      </c>
      <c r="F3" s="2">
        <v>2025</v>
      </c>
      <c r="G3" s="2">
        <v>405</v>
      </c>
      <c r="H3" s="2">
        <v>519</v>
      </c>
      <c r="I3" s="2">
        <v>405</v>
      </c>
      <c r="J3" s="2">
        <v>519</v>
      </c>
      <c r="K3" s="2">
        <v>9</v>
      </c>
      <c r="L3" s="2">
        <v>19</v>
      </c>
      <c r="M3" s="2">
        <v>575</v>
      </c>
      <c r="N3" s="2">
        <v>1150</v>
      </c>
      <c r="O3" s="2">
        <v>205678</v>
      </c>
      <c r="P3" s="2">
        <v>430074</v>
      </c>
      <c r="Q3" s="2"/>
      <c r="R3" s="2"/>
      <c r="S3" s="2"/>
      <c r="T3" s="3">
        <v>0.48</v>
      </c>
      <c r="U3" s="3">
        <v>0.78</v>
      </c>
      <c r="V3" s="3">
        <v>0.77</v>
      </c>
      <c r="W3" s="2">
        <v>15.7</v>
      </c>
      <c r="X3" s="2">
        <v>16.5</v>
      </c>
      <c r="Y3" s="2" t="s">
        <v>29</v>
      </c>
    </row>
    <row r="4" spans="1:25" x14ac:dyDescent="0.25">
      <c r="A4" s="1" t="s">
        <v>25</v>
      </c>
      <c r="B4" s="1" t="s">
        <v>26</v>
      </c>
      <c r="C4" s="1" t="s">
        <v>27</v>
      </c>
      <c r="D4" s="2">
        <v>140010</v>
      </c>
      <c r="E4" s="2" t="s">
        <v>30</v>
      </c>
      <c r="F4" s="2">
        <v>2025</v>
      </c>
      <c r="G4" s="2">
        <v>448</v>
      </c>
      <c r="H4" s="2">
        <v>605</v>
      </c>
      <c r="I4" s="2">
        <v>853</v>
      </c>
      <c r="J4" s="2">
        <v>1124</v>
      </c>
      <c r="K4" s="2">
        <v>9</v>
      </c>
      <c r="L4" s="2">
        <v>28</v>
      </c>
      <c r="M4" s="2">
        <v>564</v>
      </c>
      <c r="N4" s="2">
        <v>1714</v>
      </c>
      <c r="O4" s="2">
        <v>222884</v>
      </c>
      <c r="P4" s="2">
        <v>430074</v>
      </c>
      <c r="Q4" s="2"/>
      <c r="R4" s="2"/>
      <c r="S4" s="2"/>
      <c r="T4" s="3">
        <v>0.52</v>
      </c>
      <c r="U4" s="3">
        <v>0.74</v>
      </c>
      <c r="V4" s="3">
        <v>0.76</v>
      </c>
      <c r="W4" s="2">
        <v>16</v>
      </c>
      <c r="X4" s="2">
        <v>16.3</v>
      </c>
      <c r="Y4" s="2" t="s">
        <v>29</v>
      </c>
    </row>
    <row r="5" spans="1:25" x14ac:dyDescent="0.25">
      <c r="A5" s="1" t="s">
        <v>25</v>
      </c>
      <c r="B5" s="1" t="s">
        <v>26</v>
      </c>
      <c r="C5" s="1" t="s">
        <v>27</v>
      </c>
      <c r="D5" s="2">
        <v>140010</v>
      </c>
      <c r="E5" s="2" t="s">
        <v>31</v>
      </c>
      <c r="F5" s="2">
        <v>2025</v>
      </c>
      <c r="G5" s="2">
        <v>415</v>
      </c>
      <c r="H5" s="2">
        <v>525</v>
      </c>
      <c r="I5" s="2">
        <v>1268</v>
      </c>
      <c r="J5" s="2">
        <v>1649</v>
      </c>
      <c r="K5" s="2">
        <v>12</v>
      </c>
      <c r="L5" s="2">
        <v>40</v>
      </c>
      <c r="M5" s="2">
        <v>580</v>
      </c>
      <c r="N5" s="2">
        <v>2294</v>
      </c>
      <c r="O5" s="2">
        <v>232143</v>
      </c>
      <c r="P5" s="2">
        <v>430074</v>
      </c>
      <c r="Q5" s="2"/>
      <c r="R5" s="2"/>
      <c r="S5" s="2"/>
      <c r="T5" s="3">
        <v>0.54</v>
      </c>
      <c r="U5" s="3">
        <v>0.79</v>
      </c>
      <c r="V5" s="3">
        <v>0.77</v>
      </c>
      <c r="W5" s="2">
        <v>20.7</v>
      </c>
      <c r="X5" s="2">
        <v>17.399999999999999</v>
      </c>
      <c r="Y5" s="2" t="s">
        <v>29</v>
      </c>
    </row>
    <row r="6" spans="1:25" x14ac:dyDescent="0.25">
      <c r="A6" s="1" t="s">
        <v>25</v>
      </c>
      <c r="B6" s="1" t="s">
        <v>26</v>
      </c>
      <c r="C6" s="1" t="s">
        <v>27</v>
      </c>
      <c r="D6" s="2">
        <v>140010</v>
      </c>
      <c r="E6" s="2" t="s">
        <v>32</v>
      </c>
      <c r="F6" s="2">
        <v>2025</v>
      </c>
      <c r="G6" s="2">
        <v>491</v>
      </c>
      <c r="H6" s="2">
        <v>538</v>
      </c>
      <c r="I6" s="2">
        <v>1759</v>
      </c>
      <c r="J6" s="2">
        <v>2187</v>
      </c>
      <c r="K6" s="2">
        <v>10</v>
      </c>
      <c r="L6" s="2">
        <v>50</v>
      </c>
      <c r="M6" s="2">
        <v>591</v>
      </c>
      <c r="N6" s="2">
        <v>2885</v>
      </c>
      <c r="O6" s="2">
        <v>241612</v>
      </c>
      <c r="P6" s="2">
        <v>430074</v>
      </c>
      <c r="Q6" s="2"/>
      <c r="R6" s="2"/>
      <c r="S6" s="2"/>
      <c r="T6" s="3">
        <v>0.56000000000000005</v>
      </c>
      <c r="U6" s="3">
        <v>0.91</v>
      </c>
      <c r="V6" s="3">
        <v>0.8</v>
      </c>
      <c r="W6" s="2">
        <v>16.899999999999999</v>
      </c>
      <c r="X6" s="2">
        <v>17.3</v>
      </c>
      <c r="Y6" s="2" t="s">
        <v>29</v>
      </c>
    </row>
    <row r="7" spans="1:25" x14ac:dyDescent="0.25">
      <c r="A7" s="1" t="s">
        <v>25</v>
      </c>
      <c r="B7" s="1" t="s">
        <v>26</v>
      </c>
      <c r="C7" s="1" t="s">
        <v>27</v>
      </c>
      <c r="D7" s="2">
        <v>140010</v>
      </c>
      <c r="E7" s="2" t="s">
        <v>33</v>
      </c>
      <c r="F7" s="2">
        <v>2025</v>
      </c>
      <c r="G7" s="2">
        <v>417</v>
      </c>
      <c r="H7" s="2">
        <v>486</v>
      </c>
      <c r="I7" s="2">
        <v>2176</v>
      </c>
      <c r="J7" s="2">
        <v>2673</v>
      </c>
      <c r="K7" s="2">
        <v>9</v>
      </c>
      <c r="L7" s="2">
        <v>59</v>
      </c>
      <c r="M7" s="2">
        <v>538</v>
      </c>
      <c r="N7" s="2">
        <v>3423</v>
      </c>
      <c r="O7" s="2">
        <v>247563</v>
      </c>
      <c r="P7" s="2">
        <v>430074</v>
      </c>
      <c r="Q7" s="2"/>
      <c r="R7" s="2"/>
      <c r="S7" s="2"/>
      <c r="T7" s="3">
        <v>0.57999999999999996</v>
      </c>
      <c r="U7" s="3">
        <v>0.86</v>
      </c>
      <c r="V7" s="3">
        <v>0.82</v>
      </c>
      <c r="W7" s="2">
        <v>16.7</v>
      </c>
      <c r="X7" s="2">
        <v>17.2</v>
      </c>
      <c r="Y7" s="2" t="s">
        <v>29</v>
      </c>
    </row>
    <row r="8" spans="1:25" x14ac:dyDescent="0.25">
      <c r="A8" s="1" t="s">
        <v>25</v>
      </c>
      <c r="B8" s="1" t="s">
        <v>26</v>
      </c>
      <c r="C8" s="1" t="s">
        <v>27</v>
      </c>
      <c r="D8" s="2">
        <v>140010</v>
      </c>
      <c r="E8" s="2" t="s">
        <v>34</v>
      </c>
      <c r="F8" s="2">
        <v>2025</v>
      </c>
      <c r="G8" s="2">
        <v>524</v>
      </c>
      <c r="H8" s="2">
        <v>549</v>
      </c>
      <c r="I8" s="2">
        <v>2700</v>
      </c>
      <c r="J8" s="2">
        <v>3222</v>
      </c>
      <c r="K8" s="2">
        <v>10</v>
      </c>
      <c r="L8" s="2">
        <v>69</v>
      </c>
      <c r="M8" s="2">
        <v>533</v>
      </c>
      <c r="N8" s="2">
        <v>3956</v>
      </c>
      <c r="O8" s="2">
        <v>254544</v>
      </c>
      <c r="P8" s="2">
        <v>430074</v>
      </c>
      <c r="Q8" s="2"/>
      <c r="R8" s="2"/>
      <c r="S8" s="2"/>
      <c r="T8" s="3">
        <v>0.59</v>
      </c>
      <c r="U8" s="3">
        <v>0.95</v>
      </c>
      <c r="V8" s="3">
        <v>0.88</v>
      </c>
      <c r="W8" s="2">
        <v>18.8</v>
      </c>
      <c r="X8" s="2">
        <v>17.399999999999999</v>
      </c>
      <c r="Y8" s="2" t="s">
        <v>29</v>
      </c>
    </row>
    <row r="9" spans="1:25" x14ac:dyDescent="0.25">
      <c r="A9" s="1" t="s">
        <v>25</v>
      </c>
      <c r="B9" s="1" t="s">
        <v>26</v>
      </c>
      <c r="C9" s="1" t="s">
        <v>27</v>
      </c>
      <c r="D9" s="2">
        <v>140010</v>
      </c>
      <c r="E9" s="2" t="s">
        <v>35</v>
      </c>
      <c r="F9" s="2">
        <v>2025</v>
      </c>
      <c r="G9" s="2">
        <v>427</v>
      </c>
      <c r="H9" s="2">
        <v>563</v>
      </c>
      <c r="I9" s="2">
        <v>3127</v>
      </c>
      <c r="J9" s="2">
        <v>3785</v>
      </c>
      <c r="K9" s="2">
        <v>7</v>
      </c>
      <c r="L9" s="2">
        <v>76</v>
      </c>
      <c r="M9" s="2">
        <v>569</v>
      </c>
      <c r="N9" s="2">
        <v>4525</v>
      </c>
      <c r="O9" s="2">
        <v>262422</v>
      </c>
      <c r="P9" s="2">
        <v>430074</v>
      </c>
      <c r="Q9" s="2"/>
      <c r="R9" s="2"/>
      <c r="S9" s="2"/>
      <c r="T9" s="3">
        <v>0.61</v>
      </c>
      <c r="U9" s="3">
        <v>0.76</v>
      </c>
      <c r="V9" s="3">
        <v>0.87</v>
      </c>
      <c r="W9" s="2">
        <v>12.3</v>
      </c>
      <c r="X9" s="2">
        <v>16.8</v>
      </c>
      <c r="Y9" s="2" t="s">
        <v>29</v>
      </c>
    </row>
    <row r="10" spans="1:25" x14ac:dyDescent="0.25">
      <c r="A10" s="1" t="s">
        <v>25</v>
      </c>
      <c r="B10" s="1" t="s">
        <v>26</v>
      </c>
      <c r="C10" s="1" t="s">
        <v>27</v>
      </c>
      <c r="D10" s="2">
        <v>140010</v>
      </c>
      <c r="E10" s="2" t="s">
        <v>36</v>
      </c>
      <c r="F10" s="2">
        <v>2025</v>
      </c>
      <c r="G10" s="2">
        <v>383</v>
      </c>
      <c r="H10" s="2">
        <v>623</v>
      </c>
      <c r="I10" s="2">
        <v>3510</v>
      </c>
      <c r="J10" s="2">
        <v>4408</v>
      </c>
      <c r="K10" s="2">
        <v>14</v>
      </c>
      <c r="L10" s="2">
        <v>90</v>
      </c>
      <c r="M10" s="2">
        <v>602</v>
      </c>
      <c r="N10" s="2">
        <v>5127</v>
      </c>
      <c r="O10" s="2">
        <v>278643</v>
      </c>
      <c r="P10" s="2">
        <v>430074</v>
      </c>
      <c r="Q10" s="2"/>
      <c r="R10" s="2"/>
      <c r="S10" s="2"/>
      <c r="T10" s="3">
        <v>0.65</v>
      </c>
      <c r="U10" s="3">
        <v>0.61</v>
      </c>
      <c r="V10" s="3">
        <v>0.79</v>
      </c>
      <c r="W10" s="2">
        <v>23.3</v>
      </c>
      <c r="X10" s="2">
        <v>17.600000000000001</v>
      </c>
      <c r="Y10" s="2" t="s">
        <v>29</v>
      </c>
    </row>
    <row r="11" spans="1:25" x14ac:dyDescent="0.25">
      <c r="A11" s="1" t="s">
        <v>25</v>
      </c>
      <c r="B11" s="1" t="s">
        <v>26</v>
      </c>
      <c r="C11" s="1" t="s">
        <v>27</v>
      </c>
      <c r="D11" s="2">
        <v>140010</v>
      </c>
      <c r="E11" s="2" t="s">
        <v>37</v>
      </c>
      <c r="F11" s="2">
        <v>2025</v>
      </c>
      <c r="G11" s="2">
        <v>100</v>
      </c>
      <c r="H11" s="2">
        <v>658</v>
      </c>
      <c r="I11" s="2">
        <v>3610</v>
      </c>
      <c r="J11" s="2">
        <v>5066</v>
      </c>
      <c r="K11" s="2">
        <v>11</v>
      </c>
      <c r="L11" s="2">
        <v>101</v>
      </c>
      <c r="M11" s="2">
        <v>620</v>
      </c>
      <c r="N11" s="2">
        <v>5747</v>
      </c>
      <c r="O11" s="2">
        <v>284444</v>
      </c>
      <c r="P11" s="2">
        <v>430074</v>
      </c>
      <c r="Q11" s="2"/>
      <c r="R11" s="2"/>
      <c r="S11" s="2"/>
      <c r="T11" s="3">
        <v>0.66</v>
      </c>
      <c r="U11" s="3">
        <v>0.15</v>
      </c>
      <c r="V11" s="3">
        <v>0.6</v>
      </c>
      <c r="W11" s="2">
        <v>17.7</v>
      </c>
      <c r="X11" s="2">
        <v>17.600000000000001</v>
      </c>
      <c r="Y11" s="2" t="s">
        <v>29</v>
      </c>
    </row>
    <row r="12" spans="1:25" x14ac:dyDescent="0.25">
      <c r="A12" s="1" t="s">
        <v>25</v>
      </c>
      <c r="B12" s="1" t="s">
        <v>26</v>
      </c>
      <c r="C12" s="1" t="s">
        <v>27</v>
      </c>
      <c r="D12" s="2">
        <v>140010</v>
      </c>
      <c r="E12" s="2" t="s">
        <v>38</v>
      </c>
      <c r="F12" s="2">
        <v>2025</v>
      </c>
      <c r="G12" s="4">
        <v>73</v>
      </c>
      <c r="H12" s="2">
        <v>594</v>
      </c>
      <c r="I12" s="2">
        <v>3683</v>
      </c>
      <c r="J12" s="2">
        <v>5660</v>
      </c>
      <c r="K12" s="4">
        <v>8</v>
      </c>
      <c r="L12" s="2">
        <v>109</v>
      </c>
      <c r="M12" s="2">
        <v>584</v>
      </c>
      <c r="N12" s="2">
        <v>5844</v>
      </c>
      <c r="O12" s="2">
        <v>291105</v>
      </c>
      <c r="P12" s="2">
        <v>430074</v>
      </c>
      <c r="Q12" s="2"/>
      <c r="R12" s="2"/>
      <c r="S12" s="2"/>
      <c r="T12" s="3">
        <v>0.68</v>
      </c>
      <c r="U12" s="3">
        <v>0.12</v>
      </c>
      <c r="V12" s="3">
        <v>0.4</v>
      </c>
      <c r="W12" s="2">
        <v>41.2</v>
      </c>
      <c r="X12" s="2">
        <v>18</v>
      </c>
      <c r="Y12" s="2" t="s">
        <v>29</v>
      </c>
    </row>
    <row r="13" spans="1:25" x14ac:dyDescent="0.25">
      <c r="A13" s="1" t="s">
        <v>25</v>
      </c>
      <c r="B13" s="1" t="s">
        <v>26</v>
      </c>
      <c r="C13" s="1" t="s">
        <v>27</v>
      </c>
      <c r="D13" s="2">
        <v>140010</v>
      </c>
      <c r="E13" s="2" t="s">
        <v>39</v>
      </c>
      <c r="F13" s="2">
        <v>2025</v>
      </c>
      <c r="G13" s="2"/>
      <c r="H13" s="2"/>
      <c r="I13" s="2"/>
      <c r="J13" s="2"/>
      <c r="K13" s="2">
        <v>9</v>
      </c>
      <c r="L13" s="2">
        <v>118</v>
      </c>
      <c r="M13" s="2">
        <v>676</v>
      </c>
      <c r="N13" s="2">
        <v>6520</v>
      </c>
      <c r="O13" s="2"/>
      <c r="P13" s="2"/>
      <c r="Q13" s="2"/>
      <c r="R13" s="2"/>
      <c r="S13" s="2"/>
      <c r="T13" s="2"/>
      <c r="U13" s="2"/>
      <c r="V13" s="2"/>
      <c r="W13" s="2">
        <v>13.3</v>
      </c>
      <c r="X13" s="2">
        <v>18.100000000000001</v>
      </c>
      <c r="Y13" s="2" t="s">
        <v>29</v>
      </c>
    </row>
    <row r="14" spans="1:25" x14ac:dyDescent="0.25">
      <c r="A14" s="1" t="s">
        <v>25</v>
      </c>
      <c r="B14" s="1" t="s">
        <v>26</v>
      </c>
      <c r="C14" s="1" t="s">
        <v>27</v>
      </c>
      <c r="D14" s="2">
        <v>140010</v>
      </c>
      <c r="E14" s="2" t="s">
        <v>40</v>
      </c>
      <c r="F14" s="2">
        <v>2026</v>
      </c>
      <c r="G14" s="2">
        <v>5</v>
      </c>
      <c r="H14" s="2">
        <v>3114</v>
      </c>
      <c r="I14" s="2"/>
      <c r="J14" s="2"/>
      <c r="K14" s="2">
        <v>10</v>
      </c>
      <c r="L14" s="2">
        <v>10</v>
      </c>
      <c r="M14" s="2">
        <v>616</v>
      </c>
      <c r="N14" s="2">
        <v>616</v>
      </c>
      <c r="O14" s="2"/>
      <c r="P14" s="2"/>
      <c r="Q14" s="2"/>
      <c r="R14" s="2"/>
      <c r="S14" s="2"/>
      <c r="T14" s="2"/>
      <c r="U14" s="2"/>
      <c r="V14" s="2"/>
      <c r="W14" s="2">
        <v>16.2</v>
      </c>
      <c r="X14" s="2">
        <v>16.2</v>
      </c>
      <c r="Y14" s="2" t="s">
        <v>29</v>
      </c>
    </row>
    <row r="15" spans="1:25" x14ac:dyDescent="0.25">
      <c r="A15" s="1" t="s">
        <v>25</v>
      </c>
      <c r="B15" s="1" t="s">
        <v>26</v>
      </c>
      <c r="C15" s="1" t="s">
        <v>27</v>
      </c>
      <c r="D15" s="2">
        <v>140010</v>
      </c>
      <c r="E15" s="2" t="s">
        <v>28</v>
      </c>
      <c r="F15" s="2">
        <v>2026</v>
      </c>
      <c r="G15" s="2">
        <v>7</v>
      </c>
      <c r="H15" s="2">
        <v>3150</v>
      </c>
      <c r="I15" s="2"/>
      <c r="J15" s="2"/>
      <c r="K15" s="2">
        <v>10</v>
      </c>
      <c r="L15" s="2">
        <v>20</v>
      </c>
      <c r="M15" s="2">
        <v>506</v>
      </c>
      <c r="N15" s="2">
        <v>1122</v>
      </c>
      <c r="O15" s="2"/>
      <c r="P15" s="2"/>
      <c r="Q15" s="2"/>
      <c r="R15" s="2"/>
      <c r="S15" s="2"/>
      <c r="T15" s="2"/>
      <c r="U15" s="2"/>
      <c r="V15" s="2"/>
      <c r="W15" s="2">
        <v>19.8</v>
      </c>
      <c r="X15" s="2">
        <v>17.8</v>
      </c>
      <c r="Y15" s="2" t="s">
        <v>29</v>
      </c>
    </row>
    <row r="16" spans="1:25" x14ac:dyDescent="0.25">
      <c r="A16" s="1" t="s">
        <v>25</v>
      </c>
      <c r="B16" s="1" t="s">
        <v>26</v>
      </c>
      <c r="C16" s="1" t="s">
        <v>27</v>
      </c>
      <c r="D16" s="2">
        <v>140010</v>
      </c>
      <c r="E16" s="2" t="s">
        <v>30</v>
      </c>
      <c r="F16" s="2">
        <v>2026</v>
      </c>
      <c r="G16" s="2">
        <v>6</v>
      </c>
      <c r="H16" s="2">
        <v>3283</v>
      </c>
      <c r="I16" s="2"/>
      <c r="J16" s="2"/>
      <c r="K16" s="2">
        <v>13</v>
      </c>
      <c r="L16" s="2">
        <v>33</v>
      </c>
      <c r="M16" s="2">
        <v>618</v>
      </c>
      <c r="N16" s="2">
        <v>1740</v>
      </c>
      <c r="O16" s="2"/>
      <c r="P16" s="2"/>
      <c r="Q16" s="2"/>
      <c r="R16" s="2"/>
      <c r="S16" s="2"/>
      <c r="T16" s="2"/>
      <c r="U16" s="2"/>
      <c r="V16" s="2"/>
      <c r="W16" s="2">
        <v>21</v>
      </c>
      <c r="X16" s="2">
        <v>19</v>
      </c>
      <c r="Y16" s="2" t="s">
        <v>29</v>
      </c>
    </row>
    <row r="17" spans="1:25" x14ac:dyDescent="0.25">
      <c r="A17" s="1" t="s">
        <v>25</v>
      </c>
      <c r="B17" s="1" t="s">
        <v>26</v>
      </c>
      <c r="C17" s="1" t="s">
        <v>27</v>
      </c>
      <c r="D17" s="2">
        <v>140010</v>
      </c>
      <c r="E17" s="2" t="s">
        <v>31</v>
      </c>
      <c r="F17" s="2">
        <v>2026</v>
      </c>
      <c r="G17" s="2"/>
      <c r="H17" s="2"/>
      <c r="I17" s="2"/>
      <c r="J17" s="2"/>
      <c r="K17" s="2">
        <v>14</v>
      </c>
      <c r="L17" s="2">
        <v>47</v>
      </c>
      <c r="M17" s="2">
        <v>310</v>
      </c>
      <c r="N17" s="2">
        <v>2050</v>
      </c>
      <c r="O17" s="2"/>
      <c r="P17" s="2"/>
      <c r="Q17" s="2"/>
      <c r="R17" s="2"/>
      <c r="S17" s="2"/>
      <c r="T17" s="2"/>
      <c r="U17" s="2"/>
      <c r="V17" s="2"/>
      <c r="W17" s="2">
        <v>45.2</v>
      </c>
      <c r="X17" s="2">
        <v>22.9</v>
      </c>
      <c r="Y17" s="2" t="s">
        <v>29</v>
      </c>
    </row>
    <row r="18" spans="1:25" x14ac:dyDescent="0.25">
      <c r="A18" s="1" t="s">
        <v>25</v>
      </c>
      <c r="B18" s="1" t="s">
        <v>26</v>
      </c>
      <c r="C18" s="1" t="s">
        <v>27</v>
      </c>
      <c r="D18" s="2">
        <v>140010</v>
      </c>
      <c r="E18" s="2" t="s">
        <v>32</v>
      </c>
      <c r="F18" s="2">
        <v>2026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25">
      <c r="A19" s="1" t="s">
        <v>25</v>
      </c>
      <c r="B19" s="1" t="s">
        <v>26</v>
      </c>
      <c r="C19" s="1" t="s">
        <v>27</v>
      </c>
      <c r="D19" s="2">
        <v>140010</v>
      </c>
      <c r="E19" s="2" t="s">
        <v>33</v>
      </c>
      <c r="F19" s="2">
        <v>2026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25">
      <c r="A20" s="1" t="s">
        <v>25</v>
      </c>
      <c r="B20" s="1" t="s">
        <v>26</v>
      </c>
      <c r="C20" s="1" t="s">
        <v>27</v>
      </c>
      <c r="D20" s="2">
        <v>140010</v>
      </c>
      <c r="E20" s="2" t="s">
        <v>34</v>
      </c>
      <c r="F20" s="2">
        <v>2026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25">
      <c r="A21" s="1" t="s">
        <v>25</v>
      </c>
      <c r="B21" s="1" t="s">
        <v>26</v>
      </c>
      <c r="C21" s="1" t="s">
        <v>27</v>
      </c>
      <c r="D21" s="2">
        <v>140010</v>
      </c>
      <c r="E21" s="2" t="s">
        <v>35</v>
      </c>
      <c r="F21" s="2">
        <v>2026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25">
      <c r="A22" s="1" t="s">
        <v>25</v>
      </c>
      <c r="B22" s="1" t="s">
        <v>26</v>
      </c>
      <c r="C22" s="1" t="s">
        <v>27</v>
      </c>
      <c r="D22" s="2">
        <v>140010</v>
      </c>
      <c r="E22" s="2" t="s">
        <v>36</v>
      </c>
      <c r="F22" s="2">
        <v>2026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25">
      <c r="A23" s="1" t="s">
        <v>25</v>
      </c>
      <c r="B23" s="1" t="s">
        <v>26</v>
      </c>
      <c r="C23" s="1" t="s">
        <v>27</v>
      </c>
      <c r="D23" s="2">
        <v>140010</v>
      </c>
      <c r="E23" s="2" t="s">
        <v>37</v>
      </c>
      <c r="F23" s="2">
        <v>2026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25">
      <c r="A24" s="1" t="s">
        <v>25</v>
      </c>
      <c r="B24" s="1" t="s">
        <v>26</v>
      </c>
      <c r="C24" s="1" t="s">
        <v>27</v>
      </c>
      <c r="D24" s="2">
        <v>140010</v>
      </c>
      <c r="E24" s="2" t="s">
        <v>38</v>
      </c>
      <c r="F24" s="2">
        <v>2026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25">
      <c r="A25" s="1" t="s">
        <v>25</v>
      </c>
      <c r="B25" s="1" t="s">
        <v>26</v>
      </c>
      <c r="C25" s="1" t="s">
        <v>27</v>
      </c>
      <c r="D25" s="2">
        <v>140010</v>
      </c>
      <c r="E25" s="2" t="s">
        <v>39</v>
      </c>
      <c r="F25" s="2">
        <v>2026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</sheetData>
  <mergeCells count="16">
    <mergeCell ref="Y1:Y2"/>
    <mergeCell ref="G1:G2"/>
    <mergeCell ref="H1:H2"/>
    <mergeCell ref="O1:O2"/>
    <mergeCell ref="P1:P2"/>
    <mergeCell ref="T1:T2"/>
    <mergeCell ref="K1:K2"/>
    <mergeCell ref="L1:L2"/>
    <mergeCell ref="M1:M2"/>
    <mergeCell ref="N1:N2"/>
    <mergeCell ref="F1:F2"/>
    <mergeCell ref="A1:A2"/>
    <mergeCell ref="B1:B2"/>
    <mergeCell ref="C1:C2"/>
    <mergeCell ref="D1:D2"/>
    <mergeCell ref="E1:E2"/>
  </mergeCells>
  <phoneticPr fontId="5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63F54-90EB-4A03-8DAE-93ABD05C42C3}">
  <dimension ref="A1:AD217"/>
  <sheetViews>
    <sheetView workbookViewId="0">
      <pane ySplit="1" topLeftCell="A2" activePane="bottomLeft" state="frozen"/>
      <selection pane="bottomLeft" activeCell="E5" sqref="E5"/>
    </sheetView>
  </sheetViews>
  <sheetFormatPr defaultRowHeight="26.25" customHeight="1" x14ac:dyDescent="0.25"/>
  <cols>
    <col min="1" max="1" width="9.140625" style="6"/>
    <col min="2" max="2" width="14.7109375" style="6" bestFit="1" customWidth="1"/>
    <col min="3" max="3" width="18.140625" style="6" customWidth="1"/>
    <col min="4" max="8" width="9.140625" style="6"/>
    <col min="9" max="9" width="10.140625" style="6" customWidth="1"/>
    <col min="10" max="10" width="10.42578125" style="6" customWidth="1"/>
    <col min="11" max="19" width="9.140625" style="6"/>
    <col min="20" max="20" width="9.7109375" style="6" bestFit="1" customWidth="1"/>
    <col min="21" max="21" width="9.140625" style="6"/>
    <col min="22" max="22" width="12.140625" style="6" customWidth="1"/>
    <col min="23" max="16384" width="9.140625" style="6"/>
  </cols>
  <sheetData>
    <row r="1" spans="1:30" s="10" customFormat="1" ht="86.25" customHeight="1" x14ac:dyDescent="0.25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41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42</v>
      </c>
      <c r="M1" s="8" t="s">
        <v>12</v>
      </c>
      <c r="N1" s="8" t="s">
        <v>43</v>
      </c>
      <c r="O1" s="8" t="s">
        <v>44</v>
      </c>
      <c r="P1" s="8" t="s">
        <v>45</v>
      </c>
      <c r="Q1" s="8" t="s">
        <v>46</v>
      </c>
      <c r="R1" s="8" t="s">
        <v>47</v>
      </c>
      <c r="S1" s="8" t="s">
        <v>48</v>
      </c>
      <c r="T1" s="8" t="s">
        <v>16</v>
      </c>
      <c r="U1" s="8" t="s">
        <v>17</v>
      </c>
      <c r="V1" s="8" t="s">
        <v>18</v>
      </c>
      <c r="W1" s="8" t="s">
        <v>20</v>
      </c>
      <c r="X1" s="8" t="s">
        <v>21</v>
      </c>
      <c r="Y1" s="8" t="s">
        <v>49</v>
      </c>
      <c r="Z1" s="8" t="s">
        <v>50</v>
      </c>
      <c r="AA1" s="8" t="s">
        <v>51</v>
      </c>
      <c r="AB1" s="8" t="s">
        <v>52</v>
      </c>
      <c r="AC1" s="8" t="s">
        <v>53</v>
      </c>
      <c r="AD1" s="8" t="s">
        <v>22</v>
      </c>
    </row>
    <row r="2" spans="1:30" ht="26.25" customHeight="1" x14ac:dyDescent="0.25">
      <c r="A2" s="2" t="s">
        <v>25</v>
      </c>
      <c r="B2" s="2" t="s">
        <v>54</v>
      </c>
      <c r="C2" s="2" t="s">
        <v>55</v>
      </c>
      <c r="D2" s="2">
        <v>140002</v>
      </c>
      <c r="E2" s="2" t="s">
        <v>56</v>
      </c>
      <c r="F2" s="2">
        <v>2025</v>
      </c>
      <c r="G2" s="2">
        <v>23</v>
      </c>
      <c r="H2" s="2">
        <v>33</v>
      </c>
      <c r="I2" s="2">
        <v>23</v>
      </c>
      <c r="J2" s="2">
        <v>33</v>
      </c>
      <c r="K2" s="2">
        <v>0</v>
      </c>
      <c r="L2" s="2">
        <v>0</v>
      </c>
      <c r="M2" s="2">
        <v>25</v>
      </c>
      <c r="N2" s="2">
        <v>25</v>
      </c>
      <c r="O2" s="2">
        <v>1</v>
      </c>
      <c r="P2" s="2">
        <v>1</v>
      </c>
      <c r="Q2" s="2">
        <v>0</v>
      </c>
      <c r="R2" s="2">
        <v>0</v>
      </c>
      <c r="S2" s="7">
        <v>0</v>
      </c>
      <c r="T2" s="2"/>
      <c r="U2" s="2"/>
      <c r="V2" s="2"/>
      <c r="W2" s="7">
        <v>0.7</v>
      </c>
      <c r="X2" s="2">
        <v>0</v>
      </c>
      <c r="Y2" s="2">
        <v>0</v>
      </c>
      <c r="Z2" s="2">
        <v>40</v>
      </c>
      <c r="AA2" s="2">
        <v>40</v>
      </c>
      <c r="AB2" s="2"/>
      <c r="AC2" s="2"/>
      <c r="AD2" s="2" t="s">
        <v>29</v>
      </c>
    </row>
    <row r="3" spans="1:30" ht="26.25" customHeight="1" x14ac:dyDescent="0.25">
      <c r="A3" s="2" t="s">
        <v>25</v>
      </c>
      <c r="B3" s="2" t="s">
        <v>54</v>
      </c>
      <c r="C3" s="2" t="s">
        <v>57</v>
      </c>
      <c r="D3" s="2">
        <v>140005</v>
      </c>
      <c r="E3" s="2" t="s">
        <v>56</v>
      </c>
      <c r="F3" s="2">
        <v>2025</v>
      </c>
      <c r="G3" s="2">
        <v>25</v>
      </c>
      <c r="H3" s="2">
        <v>69</v>
      </c>
      <c r="I3" s="2">
        <v>25</v>
      </c>
      <c r="J3" s="2">
        <v>69</v>
      </c>
      <c r="K3" s="2">
        <v>0</v>
      </c>
      <c r="L3" s="2">
        <v>0</v>
      </c>
      <c r="M3" s="2">
        <v>21</v>
      </c>
      <c r="N3" s="2">
        <v>21</v>
      </c>
      <c r="O3" s="2">
        <v>1</v>
      </c>
      <c r="P3" s="2">
        <v>1</v>
      </c>
      <c r="Q3" s="2">
        <v>0</v>
      </c>
      <c r="R3" s="2">
        <v>0</v>
      </c>
      <c r="S3" s="7">
        <v>0</v>
      </c>
      <c r="T3" s="2"/>
      <c r="U3" s="2"/>
      <c r="V3" s="2"/>
      <c r="W3" s="7">
        <v>0.36</v>
      </c>
      <c r="X3" s="2">
        <v>0</v>
      </c>
      <c r="Y3" s="2">
        <v>0</v>
      </c>
      <c r="Z3" s="2">
        <v>47.6</v>
      </c>
      <c r="AA3" s="2">
        <v>47.6</v>
      </c>
      <c r="AB3" s="2"/>
      <c r="AC3" s="2"/>
      <c r="AD3" s="2" t="s">
        <v>29</v>
      </c>
    </row>
    <row r="4" spans="1:30" ht="26.25" customHeight="1" x14ac:dyDescent="0.25">
      <c r="A4" s="2" t="s">
        <v>25</v>
      </c>
      <c r="B4" s="2" t="s">
        <v>54</v>
      </c>
      <c r="C4" s="2" t="s">
        <v>58</v>
      </c>
      <c r="D4" s="2">
        <v>140015</v>
      </c>
      <c r="E4" s="2" t="s">
        <v>56</v>
      </c>
      <c r="F4" s="2">
        <v>2025</v>
      </c>
      <c r="G4" s="2">
        <v>38</v>
      </c>
      <c r="H4" s="2">
        <v>39</v>
      </c>
      <c r="I4" s="2">
        <v>38</v>
      </c>
      <c r="J4" s="2">
        <v>39</v>
      </c>
      <c r="K4" s="2">
        <v>1</v>
      </c>
      <c r="L4" s="2">
        <v>1</v>
      </c>
      <c r="M4" s="2">
        <v>32</v>
      </c>
      <c r="N4" s="2">
        <v>32</v>
      </c>
      <c r="O4" s="2">
        <v>2</v>
      </c>
      <c r="P4" s="2">
        <v>2</v>
      </c>
      <c r="Q4" s="2">
        <v>0</v>
      </c>
      <c r="R4" s="2">
        <v>0</v>
      </c>
      <c r="S4" s="7">
        <v>0</v>
      </c>
      <c r="T4" s="2"/>
      <c r="U4" s="2"/>
      <c r="V4" s="2"/>
      <c r="W4" s="7">
        <v>0.97</v>
      </c>
      <c r="X4" s="2">
        <v>31.3</v>
      </c>
      <c r="Y4" s="2">
        <v>31.3</v>
      </c>
      <c r="Z4" s="2">
        <v>62.5</v>
      </c>
      <c r="AA4" s="2">
        <v>62.5</v>
      </c>
      <c r="AB4" s="2"/>
      <c r="AC4" s="2"/>
      <c r="AD4" s="2" t="s">
        <v>29</v>
      </c>
    </row>
    <row r="5" spans="1:30" ht="26.25" customHeight="1" x14ac:dyDescent="0.25">
      <c r="A5" s="2" t="s">
        <v>25</v>
      </c>
      <c r="B5" s="2" t="s">
        <v>54</v>
      </c>
      <c r="C5" s="2" t="s">
        <v>59</v>
      </c>
      <c r="D5" s="2">
        <v>140017</v>
      </c>
      <c r="E5" s="2" t="s">
        <v>56</v>
      </c>
      <c r="F5" s="2">
        <v>2025</v>
      </c>
      <c r="G5" s="2">
        <v>21</v>
      </c>
      <c r="H5" s="2">
        <v>29</v>
      </c>
      <c r="I5" s="2">
        <v>21</v>
      </c>
      <c r="J5" s="2">
        <v>29</v>
      </c>
      <c r="K5" s="2">
        <v>1</v>
      </c>
      <c r="L5" s="2">
        <v>1</v>
      </c>
      <c r="M5" s="2">
        <v>28</v>
      </c>
      <c r="N5" s="2">
        <v>28</v>
      </c>
      <c r="O5" s="2">
        <v>1</v>
      </c>
      <c r="P5" s="2">
        <v>1</v>
      </c>
      <c r="Q5" s="2">
        <v>0</v>
      </c>
      <c r="R5" s="2">
        <v>0</v>
      </c>
      <c r="S5" s="7">
        <v>0</v>
      </c>
      <c r="T5" s="2"/>
      <c r="U5" s="2"/>
      <c r="V5" s="2"/>
      <c r="W5" s="7">
        <v>0.72</v>
      </c>
      <c r="X5" s="2">
        <v>35.700000000000003</v>
      </c>
      <c r="Y5" s="2">
        <v>35.700000000000003</v>
      </c>
      <c r="Z5" s="2">
        <v>35.700000000000003</v>
      </c>
      <c r="AA5" s="2">
        <v>35.700000000000003</v>
      </c>
      <c r="AB5" s="2"/>
      <c r="AC5" s="2"/>
      <c r="AD5" s="2" t="s">
        <v>29</v>
      </c>
    </row>
    <row r="6" spans="1:30" ht="26.25" customHeight="1" x14ac:dyDescent="0.25">
      <c r="A6" s="2" t="s">
        <v>25</v>
      </c>
      <c r="B6" s="2" t="s">
        <v>54</v>
      </c>
      <c r="C6" s="2" t="s">
        <v>60</v>
      </c>
      <c r="D6" s="2">
        <v>140030</v>
      </c>
      <c r="E6" s="2" t="s">
        <v>56</v>
      </c>
      <c r="F6" s="2">
        <v>2025</v>
      </c>
      <c r="G6" s="2">
        <v>29</v>
      </c>
      <c r="H6" s="2">
        <v>22</v>
      </c>
      <c r="I6" s="2">
        <v>29</v>
      </c>
      <c r="J6" s="2">
        <v>22</v>
      </c>
      <c r="K6" s="2">
        <v>0</v>
      </c>
      <c r="L6" s="2">
        <v>0</v>
      </c>
      <c r="M6" s="2">
        <v>25</v>
      </c>
      <c r="N6" s="2">
        <v>25</v>
      </c>
      <c r="O6" s="2">
        <v>0</v>
      </c>
      <c r="P6" s="2">
        <v>0</v>
      </c>
      <c r="Q6" s="2">
        <v>0</v>
      </c>
      <c r="R6" s="2">
        <v>0</v>
      </c>
      <c r="S6" s="7">
        <v>0</v>
      </c>
      <c r="T6" s="2"/>
      <c r="U6" s="2"/>
      <c r="V6" s="2"/>
      <c r="W6" s="7">
        <v>1.32</v>
      </c>
      <c r="X6" s="2">
        <v>0</v>
      </c>
      <c r="Y6" s="2">
        <v>0</v>
      </c>
      <c r="Z6" s="2">
        <v>0</v>
      </c>
      <c r="AA6" s="2">
        <v>0</v>
      </c>
      <c r="AB6" s="2"/>
      <c r="AC6" s="2"/>
      <c r="AD6" s="2" t="s">
        <v>29</v>
      </c>
    </row>
    <row r="7" spans="1:30" ht="26.25" customHeight="1" x14ac:dyDescent="0.25">
      <c r="A7" s="2" t="s">
        <v>25</v>
      </c>
      <c r="B7" s="2" t="s">
        <v>54</v>
      </c>
      <c r="C7" s="2" t="s">
        <v>61</v>
      </c>
      <c r="D7" s="2">
        <v>140040</v>
      </c>
      <c r="E7" s="2" t="s">
        <v>56</v>
      </c>
      <c r="F7" s="2">
        <v>2025</v>
      </c>
      <c r="G7" s="2">
        <v>15</v>
      </c>
      <c r="H7" s="2">
        <v>34</v>
      </c>
      <c r="I7" s="2">
        <v>15</v>
      </c>
      <c r="J7" s="2">
        <v>34</v>
      </c>
      <c r="K7" s="2">
        <v>0</v>
      </c>
      <c r="L7" s="2">
        <v>0</v>
      </c>
      <c r="M7" s="2">
        <v>31</v>
      </c>
      <c r="N7" s="2">
        <v>31</v>
      </c>
      <c r="O7" s="2">
        <v>0</v>
      </c>
      <c r="P7" s="2">
        <v>0</v>
      </c>
      <c r="Q7" s="2">
        <v>0</v>
      </c>
      <c r="R7" s="2">
        <v>0</v>
      </c>
      <c r="S7" s="7">
        <v>0</v>
      </c>
      <c r="T7" s="2"/>
      <c r="U7" s="2"/>
      <c r="V7" s="2"/>
      <c r="W7" s="7">
        <v>0.44</v>
      </c>
      <c r="X7" s="2">
        <v>0</v>
      </c>
      <c r="Y7" s="2">
        <v>0</v>
      </c>
      <c r="Z7" s="2">
        <v>0</v>
      </c>
      <c r="AA7" s="2">
        <v>0</v>
      </c>
      <c r="AB7" s="2"/>
      <c r="AC7" s="2"/>
      <c r="AD7" s="2" t="s">
        <v>29</v>
      </c>
    </row>
    <row r="8" spans="1:30" ht="26.25" customHeight="1" x14ac:dyDescent="0.25">
      <c r="A8" s="2" t="s">
        <v>25</v>
      </c>
      <c r="B8" s="2" t="s">
        <v>54</v>
      </c>
      <c r="C8" s="2" t="s">
        <v>62</v>
      </c>
      <c r="D8" s="2">
        <v>140045</v>
      </c>
      <c r="E8" s="2" t="s">
        <v>56</v>
      </c>
      <c r="F8" s="2">
        <v>2025</v>
      </c>
      <c r="G8" s="2">
        <v>60</v>
      </c>
      <c r="H8" s="2">
        <v>44</v>
      </c>
      <c r="I8" s="2">
        <v>60</v>
      </c>
      <c r="J8" s="2">
        <v>44</v>
      </c>
      <c r="K8" s="2">
        <v>0</v>
      </c>
      <c r="L8" s="2">
        <v>0</v>
      </c>
      <c r="M8" s="2">
        <v>34</v>
      </c>
      <c r="N8" s="2">
        <v>34</v>
      </c>
      <c r="O8" s="2">
        <v>5</v>
      </c>
      <c r="P8" s="2">
        <v>5</v>
      </c>
      <c r="Q8" s="2">
        <v>0</v>
      </c>
      <c r="R8" s="2">
        <v>0</v>
      </c>
      <c r="S8" s="7">
        <v>0</v>
      </c>
      <c r="T8" s="2"/>
      <c r="U8" s="2"/>
      <c r="V8" s="2"/>
      <c r="W8" s="7">
        <v>1.36</v>
      </c>
      <c r="X8" s="2">
        <v>0</v>
      </c>
      <c r="Y8" s="2">
        <v>0</v>
      </c>
      <c r="Z8" s="2">
        <v>147.1</v>
      </c>
      <c r="AA8" s="2">
        <v>147.1</v>
      </c>
      <c r="AB8" s="2"/>
      <c r="AC8" s="2"/>
      <c r="AD8" s="2" t="s">
        <v>29</v>
      </c>
    </row>
    <row r="9" spans="1:30" ht="26.25" customHeight="1" x14ac:dyDescent="0.25">
      <c r="A9" s="2" t="s">
        <v>25</v>
      </c>
      <c r="B9" s="2" t="s">
        <v>54</v>
      </c>
      <c r="C9" s="2" t="s">
        <v>63</v>
      </c>
      <c r="D9" s="2">
        <v>140070</v>
      </c>
      <c r="E9" s="2" t="s">
        <v>56</v>
      </c>
      <c r="F9" s="2">
        <v>2025</v>
      </c>
      <c r="G9" s="2">
        <v>17</v>
      </c>
      <c r="H9" s="2">
        <v>71</v>
      </c>
      <c r="I9" s="2">
        <v>17</v>
      </c>
      <c r="J9" s="2">
        <v>71</v>
      </c>
      <c r="K9" s="2">
        <v>0</v>
      </c>
      <c r="L9" s="2">
        <v>0</v>
      </c>
      <c r="M9" s="2">
        <v>29</v>
      </c>
      <c r="N9" s="2">
        <v>29</v>
      </c>
      <c r="O9" s="2">
        <v>0</v>
      </c>
      <c r="P9" s="2">
        <v>0</v>
      </c>
      <c r="Q9" s="2">
        <v>0</v>
      </c>
      <c r="R9" s="2">
        <v>0</v>
      </c>
      <c r="S9" s="7">
        <v>0</v>
      </c>
      <c r="T9" s="2"/>
      <c r="U9" s="2"/>
      <c r="V9" s="2"/>
      <c r="W9" s="7">
        <v>0.24</v>
      </c>
      <c r="X9" s="2">
        <v>0</v>
      </c>
      <c r="Y9" s="2">
        <v>0</v>
      </c>
      <c r="Z9" s="2">
        <v>0</v>
      </c>
      <c r="AA9" s="2">
        <v>0</v>
      </c>
      <c r="AB9" s="2"/>
      <c r="AC9" s="2"/>
      <c r="AD9" s="2" t="s">
        <v>29</v>
      </c>
    </row>
    <row r="10" spans="1:30" ht="26.25" customHeight="1" x14ac:dyDescent="0.25">
      <c r="A10" s="2" t="s">
        <v>25</v>
      </c>
      <c r="B10" s="2" t="s">
        <v>54</v>
      </c>
      <c r="C10" s="2" t="s">
        <v>64</v>
      </c>
      <c r="D10" s="2" t="s">
        <v>65</v>
      </c>
      <c r="E10" s="2" t="s">
        <v>56</v>
      </c>
      <c r="F10" s="2">
        <v>2025</v>
      </c>
      <c r="G10" s="2">
        <v>228</v>
      </c>
      <c r="H10" s="2">
        <v>341</v>
      </c>
      <c r="I10" s="2">
        <v>228</v>
      </c>
      <c r="J10" s="2">
        <v>341</v>
      </c>
      <c r="K10" s="2">
        <v>2</v>
      </c>
      <c r="L10" s="2">
        <v>2</v>
      </c>
      <c r="M10" s="2">
        <v>225</v>
      </c>
      <c r="N10" s="2">
        <v>225</v>
      </c>
      <c r="O10" s="2">
        <v>10</v>
      </c>
      <c r="P10" s="2">
        <v>10</v>
      </c>
      <c r="Q10" s="2">
        <v>0</v>
      </c>
      <c r="R10" s="2">
        <v>0</v>
      </c>
      <c r="S10" s="7">
        <v>0</v>
      </c>
      <c r="T10" s="2"/>
      <c r="U10" s="2"/>
      <c r="V10" s="2"/>
      <c r="W10" s="7">
        <v>0.67</v>
      </c>
      <c r="X10" s="2">
        <v>8.9</v>
      </c>
      <c r="Y10" s="2">
        <v>8.9</v>
      </c>
      <c r="Z10" s="2">
        <v>44.4</v>
      </c>
      <c r="AA10" s="2">
        <v>44.4</v>
      </c>
      <c r="AB10" s="2"/>
      <c r="AC10" s="2"/>
      <c r="AD10" s="2" t="s">
        <v>66</v>
      </c>
    </row>
    <row r="11" spans="1:30" ht="26.25" customHeight="1" x14ac:dyDescent="0.25">
      <c r="A11" s="2" t="s">
        <v>25</v>
      </c>
      <c r="B11" s="2" t="s">
        <v>54</v>
      </c>
      <c r="C11" s="2" t="s">
        <v>55</v>
      </c>
      <c r="D11" s="2">
        <v>140002</v>
      </c>
      <c r="E11" s="2" t="s">
        <v>67</v>
      </c>
      <c r="F11" s="2">
        <v>2025</v>
      </c>
      <c r="G11" s="2">
        <v>23</v>
      </c>
      <c r="H11" s="2">
        <v>30</v>
      </c>
      <c r="I11" s="2">
        <f>G11+I2</f>
        <v>46</v>
      </c>
      <c r="J11" s="2">
        <f>H11+J2</f>
        <v>63</v>
      </c>
      <c r="K11" s="2">
        <v>0</v>
      </c>
      <c r="L11" s="2">
        <v>0</v>
      </c>
      <c r="M11" s="2">
        <v>17</v>
      </c>
      <c r="N11" s="2">
        <v>42</v>
      </c>
      <c r="O11" s="2">
        <v>0</v>
      </c>
      <c r="P11" s="2">
        <v>1</v>
      </c>
      <c r="Q11" s="2">
        <v>0</v>
      </c>
      <c r="R11" s="2">
        <v>0</v>
      </c>
      <c r="S11" s="7">
        <v>0</v>
      </c>
      <c r="T11" s="2"/>
      <c r="U11" s="2"/>
      <c r="V11" s="2"/>
      <c r="W11" s="7">
        <v>0.77</v>
      </c>
      <c r="X11" s="2">
        <v>0</v>
      </c>
      <c r="Y11" s="2">
        <v>0</v>
      </c>
      <c r="Z11" s="2">
        <v>0</v>
      </c>
      <c r="AA11" s="2">
        <v>23.8</v>
      </c>
      <c r="AB11" s="2"/>
      <c r="AC11" s="2"/>
      <c r="AD11" s="2" t="s">
        <v>29</v>
      </c>
    </row>
    <row r="12" spans="1:30" ht="26.25" customHeight="1" x14ac:dyDescent="0.25">
      <c r="A12" s="2" t="s">
        <v>25</v>
      </c>
      <c r="B12" s="2" t="s">
        <v>54</v>
      </c>
      <c r="C12" s="2" t="s">
        <v>57</v>
      </c>
      <c r="D12" s="2">
        <v>140005</v>
      </c>
      <c r="E12" s="2" t="s">
        <v>67</v>
      </c>
      <c r="F12" s="2">
        <v>2025</v>
      </c>
      <c r="G12" s="2">
        <v>24</v>
      </c>
      <c r="H12" s="2">
        <v>50</v>
      </c>
      <c r="I12" s="2">
        <f t="shared" ref="I12:I75" si="0">G12+I3</f>
        <v>49</v>
      </c>
      <c r="J12" s="2">
        <f t="shared" ref="J12:J75" si="1">H12+J3</f>
        <v>119</v>
      </c>
      <c r="K12" s="2">
        <v>0</v>
      </c>
      <c r="L12" s="2">
        <v>0</v>
      </c>
      <c r="M12" s="2">
        <v>10</v>
      </c>
      <c r="N12" s="2">
        <v>31</v>
      </c>
      <c r="O12" s="2">
        <v>1</v>
      </c>
      <c r="P12" s="2">
        <v>2</v>
      </c>
      <c r="Q12" s="2">
        <v>0</v>
      </c>
      <c r="R12" s="2">
        <v>0</v>
      </c>
      <c r="S12" s="7">
        <v>0</v>
      </c>
      <c r="T12" s="2"/>
      <c r="U12" s="2"/>
      <c r="V12" s="2"/>
      <c r="W12" s="7">
        <v>0.48</v>
      </c>
      <c r="X12" s="2">
        <v>0</v>
      </c>
      <c r="Y12" s="2">
        <v>0</v>
      </c>
      <c r="Z12" s="2">
        <v>100</v>
      </c>
      <c r="AA12" s="2">
        <v>64.5</v>
      </c>
      <c r="AB12" s="2"/>
      <c r="AC12" s="2"/>
      <c r="AD12" s="2" t="s">
        <v>29</v>
      </c>
    </row>
    <row r="13" spans="1:30" ht="26.25" customHeight="1" x14ac:dyDescent="0.25">
      <c r="A13" s="2" t="s">
        <v>25</v>
      </c>
      <c r="B13" s="2" t="s">
        <v>54</v>
      </c>
      <c r="C13" s="2" t="s">
        <v>58</v>
      </c>
      <c r="D13" s="2">
        <v>140015</v>
      </c>
      <c r="E13" s="2" t="s">
        <v>67</v>
      </c>
      <c r="F13" s="2">
        <v>2025</v>
      </c>
      <c r="G13" s="2">
        <v>17</v>
      </c>
      <c r="H13" s="2">
        <v>29</v>
      </c>
      <c r="I13" s="2">
        <f t="shared" si="0"/>
        <v>55</v>
      </c>
      <c r="J13" s="2">
        <f t="shared" si="1"/>
        <v>68</v>
      </c>
      <c r="K13" s="2">
        <v>0</v>
      </c>
      <c r="L13" s="2">
        <v>1</v>
      </c>
      <c r="M13" s="2">
        <v>29</v>
      </c>
      <c r="N13" s="2">
        <v>61</v>
      </c>
      <c r="O13" s="2">
        <v>0</v>
      </c>
      <c r="P13" s="2">
        <v>2</v>
      </c>
      <c r="Q13" s="2">
        <v>0</v>
      </c>
      <c r="R13" s="2">
        <v>0</v>
      </c>
      <c r="S13" s="7">
        <v>0</v>
      </c>
      <c r="T13" s="2"/>
      <c r="U13" s="2"/>
      <c r="V13" s="2"/>
      <c r="W13" s="7">
        <v>0.59</v>
      </c>
      <c r="X13" s="2">
        <v>0</v>
      </c>
      <c r="Y13" s="2">
        <v>16.399999999999999</v>
      </c>
      <c r="Z13" s="2">
        <v>0</v>
      </c>
      <c r="AA13" s="2">
        <v>32.799999999999997</v>
      </c>
      <c r="AB13" s="2"/>
      <c r="AC13" s="2"/>
      <c r="AD13" s="2" t="s">
        <v>29</v>
      </c>
    </row>
    <row r="14" spans="1:30" ht="26.25" customHeight="1" x14ac:dyDescent="0.25">
      <c r="A14" s="2" t="s">
        <v>25</v>
      </c>
      <c r="B14" s="2" t="s">
        <v>54</v>
      </c>
      <c r="C14" s="2" t="s">
        <v>59</v>
      </c>
      <c r="D14" s="2">
        <v>140017</v>
      </c>
      <c r="E14" s="2" t="s">
        <v>67</v>
      </c>
      <c r="F14" s="2">
        <v>2025</v>
      </c>
      <c r="G14" s="2">
        <v>27</v>
      </c>
      <c r="H14" s="2">
        <v>24</v>
      </c>
      <c r="I14" s="2">
        <f t="shared" si="0"/>
        <v>48</v>
      </c>
      <c r="J14" s="2">
        <f t="shared" si="1"/>
        <v>53</v>
      </c>
      <c r="K14" s="2">
        <v>0</v>
      </c>
      <c r="L14" s="2">
        <v>1</v>
      </c>
      <c r="M14" s="2">
        <v>41</v>
      </c>
      <c r="N14" s="2">
        <v>69</v>
      </c>
      <c r="O14" s="2">
        <v>0</v>
      </c>
      <c r="P14" s="2">
        <v>1</v>
      </c>
      <c r="Q14" s="2">
        <v>0</v>
      </c>
      <c r="R14" s="2">
        <v>0</v>
      </c>
      <c r="S14" s="7">
        <v>0</v>
      </c>
      <c r="T14" s="2"/>
      <c r="U14" s="2"/>
      <c r="V14" s="2"/>
      <c r="W14" s="7">
        <v>1.1299999999999999</v>
      </c>
      <c r="X14" s="2">
        <v>0</v>
      </c>
      <c r="Y14" s="2">
        <v>14.5</v>
      </c>
      <c r="Z14" s="2">
        <v>0</v>
      </c>
      <c r="AA14" s="2">
        <v>14.5</v>
      </c>
      <c r="AB14" s="2"/>
      <c r="AC14" s="2"/>
      <c r="AD14" s="2" t="s">
        <v>29</v>
      </c>
    </row>
    <row r="15" spans="1:30" ht="26.25" customHeight="1" x14ac:dyDescent="0.25">
      <c r="A15" s="2" t="s">
        <v>25</v>
      </c>
      <c r="B15" s="2" t="s">
        <v>54</v>
      </c>
      <c r="C15" s="2" t="s">
        <v>60</v>
      </c>
      <c r="D15" s="2">
        <v>140030</v>
      </c>
      <c r="E15" s="2" t="s">
        <v>67</v>
      </c>
      <c r="F15" s="2">
        <v>2025</v>
      </c>
      <c r="G15" s="2">
        <v>31</v>
      </c>
      <c r="H15" s="2">
        <v>27</v>
      </c>
      <c r="I15" s="2">
        <f t="shared" si="0"/>
        <v>60</v>
      </c>
      <c r="J15" s="2">
        <f t="shared" si="1"/>
        <v>49</v>
      </c>
      <c r="K15" s="2">
        <v>0</v>
      </c>
      <c r="L15" s="2">
        <v>0</v>
      </c>
      <c r="M15" s="2">
        <v>32</v>
      </c>
      <c r="N15" s="2">
        <v>57</v>
      </c>
      <c r="O15" s="2">
        <v>1</v>
      </c>
      <c r="P15" s="2">
        <v>1</v>
      </c>
      <c r="Q15" s="2">
        <v>0</v>
      </c>
      <c r="R15" s="2">
        <v>0</v>
      </c>
      <c r="S15" s="7">
        <v>0</v>
      </c>
      <c r="T15" s="2"/>
      <c r="U15" s="2"/>
      <c r="V15" s="2"/>
      <c r="W15" s="7">
        <v>1.1499999999999999</v>
      </c>
      <c r="X15" s="2">
        <v>0</v>
      </c>
      <c r="Y15" s="2">
        <v>0</v>
      </c>
      <c r="Z15" s="2">
        <v>31.3</v>
      </c>
      <c r="AA15" s="2">
        <v>17.5</v>
      </c>
      <c r="AB15" s="2"/>
      <c r="AC15" s="2"/>
      <c r="AD15" s="2" t="s">
        <v>29</v>
      </c>
    </row>
    <row r="16" spans="1:30" ht="26.25" customHeight="1" x14ac:dyDescent="0.25">
      <c r="A16" s="2" t="s">
        <v>25</v>
      </c>
      <c r="B16" s="2" t="s">
        <v>54</v>
      </c>
      <c r="C16" s="2" t="s">
        <v>61</v>
      </c>
      <c r="D16" s="2">
        <v>140040</v>
      </c>
      <c r="E16" s="2" t="s">
        <v>67</v>
      </c>
      <c r="F16" s="2">
        <v>2025</v>
      </c>
      <c r="G16" s="2">
        <v>23</v>
      </c>
      <c r="H16" s="2">
        <v>34</v>
      </c>
      <c r="I16" s="2">
        <f t="shared" si="0"/>
        <v>38</v>
      </c>
      <c r="J16" s="2">
        <f t="shared" si="1"/>
        <v>68</v>
      </c>
      <c r="K16" s="2">
        <v>0</v>
      </c>
      <c r="L16" s="2">
        <v>0</v>
      </c>
      <c r="M16" s="2">
        <v>42</v>
      </c>
      <c r="N16" s="2">
        <v>73</v>
      </c>
      <c r="O16" s="2">
        <v>3</v>
      </c>
      <c r="P16" s="2">
        <v>3</v>
      </c>
      <c r="Q16" s="2">
        <v>0</v>
      </c>
      <c r="R16" s="2">
        <v>0</v>
      </c>
      <c r="S16" s="7">
        <v>0</v>
      </c>
      <c r="T16" s="2"/>
      <c r="U16" s="2"/>
      <c r="V16" s="2"/>
      <c r="W16" s="7">
        <v>0.68</v>
      </c>
      <c r="X16" s="2">
        <v>0</v>
      </c>
      <c r="Y16" s="2">
        <v>0</v>
      </c>
      <c r="Z16" s="2">
        <v>71.400000000000006</v>
      </c>
      <c r="AA16" s="2">
        <v>41.1</v>
      </c>
      <c r="AB16" s="2"/>
      <c r="AC16" s="2"/>
      <c r="AD16" s="2" t="s">
        <v>29</v>
      </c>
    </row>
    <row r="17" spans="1:30" ht="26.25" customHeight="1" x14ac:dyDescent="0.25">
      <c r="A17" s="2" t="s">
        <v>25</v>
      </c>
      <c r="B17" s="2" t="s">
        <v>54</v>
      </c>
      <c r="C17" s="2" t="s">
        <v>62</v>
      </c>
      <c r="D17" s="2">
        <v>140045</v>
      </c>
      <c r="E17" s="2" t="s">
        <v>67</v>
      </c>
      <c r="F17" s="2">
        <v>2025</v>
      </c>
      <c r="G17" s="2">
        <v>53</v>
      </c>
      <c r="H17" s="2">
        <v>41</v>
      </c>
      <c r="I17" s="2">
        <f t="shared" si="0"/>
        <v>113</v>
      </c>
      <c r="J17" s="2">
        <f t="shared" si="1"/>
        <v>85</v>
      </c>
      <c r="K17" s="2">
        <v>0</v>
      </c>
      <c r="L17" s="2">
        <v>0</v>
      </c>
      <c r="M17" s="2">
        <v>31</v>
      </c>
      <c r="N17" s="2">
        <v>65</v>
      </c>
      <c r="O17" s="2">
        <v>3</v>
      </c>
      <c r="P17" s="2">
        <v>8</v>
      </c>
      <c r="Q17" s="2">
        <v>0</v>
      </c>
      <c r="R17" s="2">
        <v>0</v>
      </c>
      <c r="S17" s="7">
        <v>0</v>
      </c>
      <c r="T17" s="2"/>
      <c r="U17" s="2"/>
      <c r="V17" s="2"/>
      <c r="W17" s="7">
        <v>1.29</v>
      </c>
      <c r="X17" s="2">
        <v>0</v>
      </c>
      <c r="Y17" s="2">
        <v>0</v>
      </c>
      <c r="Z17" s="2">
        <v>96.8</v>
      </c>
      <c r="AA17" s="2">
        <v>123.1</v>
      </c>
      <c r="AB17" s="2"/>
      <c r="AC17" s="2"/>
      <c r="AD17" s="2" t="s">
        <v>29</v>
      </c>
    </row>
    <row r="18" spans="1:30" ht="26.25" customHeight="1" x14ac:dyDescent="0.25">
      <c r="A18" s="2" t="s">
        <v>25</v>
      </c>
      <c r="B18" s="2" t="s">
        <v>54</v>
      </c>
      <c r="C18" s="2" t="s">
        <v>63</v>
      </c>
      <c r="D18" s="2">
        <v>140070</v>
      </c>
      <c r="E18" s="2" t="s">
        <v>67</v>
      </c>
      <c r="F18" s="2">
        <v>2025</v>
      </c>
      <c r="G18" s="2">
        <v>15</v>
      </c>
      <c r="H18" s="2">
        <v>43</v>
      </c>
      <c r="I18" s="2">
        <f t="shared" si="0"/>
        <v>32</v>
      </c>
      <c r="J18" s="2">
        <f t="shared" si="1"/>
        <v>114</v>
      </c>
      <c r="K18" s="2">
        <v>0</v>
      </c>
      <c r="L18" s="2">
        <v>0</v>
      </c>
      <c r="M18" s="2">
        <v>32</v>
      </c>
      <c r="N18" s="2">
        <v>61</v>
      </c>
      <c r="O18" s="2">
        <v>0</v>
      </c>
      <c r="P18" s="2">
        <v>0</v>
      </c>
      <c r="Q18" s="2">
        <v>0</v>
      </c>
      <c r="R18" s="2">
        <v>0</v>
      </c>
      <c r="S18" s="7">
        <v>0</v>
      </c>
      <c r="T18" s="2"/>
      <c r="U18" s="2"/>
      <c r="V18" s="2"/>
      <c r="W18" s="7">
        <v>0.35</v>
      </c>
      <c r="X18" s="2">
        <v>0</v>
      </c>
      <c r="Y18" s="2">
        <v>0</v>
      </c>
      <c r="Z18" s="2">
        <v>0</v>
      </c>
      <c r="AA18" s="2">
        <v>0</v>
      </c>
      <c r="AB18" s="2"/>
      <c r="AC18" s="2"/>
      <c r="AD18" s="2" t="s">
        <v>29</v>
      </c>
    </row>
    <row r="19" spans="1:30" ht="26.25" customHeight="1" x14ac:dyDescent="0.25">
      <c r="A19" s="2" t="s">
        <v>25</v>
      </c>
      <c r="B19" s="2" t="s">
        <v>54</v>
      </c>
      <c r="C19" s="2" t="s">
        <v>64</v>
      </c>
      <c r="D19" s="2" t="s">
        <v>65</v>
      </c>
      <c r="E19" s="2" t="s">
        <v>67</v>
      </c>
      <c r="F19" s="2">
        <v>2025</v>
      </c>
      <c r="G19" s="2">
        <v>213</v>
      </c>
      <c r="H19" s="2">
        <v>278</v>
      </c>
      <c r="I19" s="2">
        <f t="shared" si="0"/>
        <v>441</v>
      </c>
      <c r="J19" s="2">
        <f t="shared" si="1"/>
        <v>619</v>
      </c>
      <c r="K19" s="2">
        <v>0</v>
      </c>
      <c r="L19" s="2">
        <v>2</v>
      </c>
      <c r="M19" s="2">
        <v>234</v>
      </c>
      <c r="N19" s="2">
        <v>459</v>
      </c>
      <c r="O19" s="2">
        <v>8</v>
      </c>
      <c r="P19" s="2">
        <v>18</v>
      </c>
      <c r="Q19" s="2">
        <v>0</v>
      </c>
      <c r="R19" s="2">
        <v>0</v>
      </c>
      <c r="S19" s="7">
        <v>0</v>
      </c>
      <c r="T19" s="2"/>
      <c r="U19" s="2"/>
      <c r="V19" s="2"/>
      <c r="W19" s="7">
        <v>0.77</v>
      </c>
      <c r="X19" s="2">
        <v>0</v>
      </c>
      <c r="Y19" s="2">
        <v>4.4000000000000004</v>
      </c>
      <c r="Z19" s="2">
        <v>34.200000000000003</v>
      </c>
      <c r="AA19" s="2">
        <v>39.200000000000003</v>
      </c>
      <c r="AB19" s="2"/>
      <c r="AC19" s="2"/>
      <c r="AD19" s="2" t="s">
        <v>66</v>
      </c>
    </row>
    <row r="20" spans="1:30" ht="26.25" customHeight="1" x14ac:dyDescent="0.25">
      <c r="A20" s="2" t="s">
        <v>25</v>
      </c>
      <c r="B20" s="2" t="s">
        <v>54</v>
      </c>
      <c r="C20" s="2" t="s">
        <v>55</v>
      </c>
      <c r="D20" s="2">
        <v>140002</v>
      </c>
      <c r="E20" s="2" t="s">
        <v>30</v>
      </c>
      <c r="F20" s="2">
        <v>2025</v>
      </c>
      <c r="G20" s="2">
        <v>27</v>
      </c>
      <c r="H20" s="2">
        <v>20</v>
      </c>
      <c r="I20" s="2">
        <f t="shared" si="0"/>
        <v>73</v>
      </c>
      <c r="J20" s="2">
        <f t="shared" si="1"/>
        <v>83</v>
      </c>
      <c r="K20" s="2">
        <v>0</v>
      </c>
      <c r="L20" s="2">
        <v>0</v>
      </c>
      <c r="M20" s="2">
        <v>22</v>
      </c>
      <c r="N20" s="2">
        <v>64</v>
      </c>
      <c r="O20" s="2">
        <v>0</v>
      </c>
      <c r="P20" s="2">
        <v>1</v>
      </c>
      <c r="Q20" s="2">
        <v>0</v>
      </c>
      <c r="R20" s="2">
        <v>0</v>
      </c>
      <c r="S20" s="7">
        <v>0</v>
      </c>
      <c r="T20" s="2"/>
      <c r="U20" s="2"/>
      <c r="V20" s="2"/>
      <c r="W20" s="7">
        <v>1.35</v>
      </c>
      <c r="X20" s="2">
        <v>0</v>
      </c>
      <c r="Y20" s="2">
        <v>0</v>
      </c>
      <c r="Z20" s="2">
        <v>0</v>
      </c>
      <c r="AA20" s="2">
        <v>15.6</v>
      </c>
      <c r="AB20" s="2"/>
      <c r="AC20" s="2"/>
      <c r="AD20" s="2" t="s">
        <v>29</v>
      </c>
    </row>
    <row r="21" spans="1:30" ht="26.25" customHeight="1" x14ac:dyDescent="0.25">
      <c r="A21" s="2" t="s">
        <v>25</v>
      </c>
      <c r="B21" s="2" t="s">
        <v>54</v>
      </c>
      <c r="C21" s="2" t="s">
        <v>57</v>
      </c>
      <c r="D21" s="2">
        <v>140005</v>
      </c>
      <c r="E21" s="2" t="s">
        <v>30</v>
      </c>
      <c r="F21" s="2">
        <v>2025</v>
      </c>
      <c r="G21" s="2">
        <v>25</v>
      </c>
      <c r="H21" s="2">
        <v>48</v>
      </c>
      <c r="I21" s="2">
        <f t="shared" si="0"/>
        <v>74</v>
      </c>
      <c r="J21" s="2">
        <f t="shared" si="1"/>
        <v>167</v>
      </c>
      <c r="K21" s="2">
        <v>0</v>
      </c>
      <c r="L21" s="2">
        <v>0</v>
      </c>
      <c r="M21" s="2">
        <v>21</v>
      </c>
      <c r="N21" s="2">
        <v>52</v>
      </c>
      <c r="O21" s="2">
        <v>0</v>
      </c>
      <c r="P21" s="2">
        <v>2</v>
      </c>
      <c r="Q21" s="2">
        <v>0</v>
      </c>
      <c r="R21" s="2">
        <v>0</v>
      </c>
      <c r="S21" s="7">
        <v>0</v>
      </c>
      <c r="T21" s="2"/>
      <c r="U21" s="2"/>
      <c r="V21" s="2"/>
      <c r="W21" s="7">
        <v>0.52</v>
      </c>
      <c r="X21" s="2">
        <v>0</v>
      </c>
      <c r="Y21" s="2">
        <v>0</v>
      </c>
      <c r="Z21" s="2">
        <v>0</v>
      </c>
      <c r="AA21" s="2">
        <v>38.5</v>
      </c>
      <c r="AB21" s="2"/>
      <c r="AC21" s="2"/>
      <c r="AD21" s="2" t="s">
        <v>29</v>
      </c>
    </row>
    <row r="22" spans="1:30" ht="26.25" customHeight="1" x14ac:dyDescent="0.25">
      <c r="A22" s="2" t="s">
        <v>25</v>
      </c>
      <c r="B22" s="2" t="s">
        <v>54</v>
      </c>
      <c r="C22" s="2" t="s">
        <v>58</v>
      </c>
      <c r="D22" s="2">
        <v>140015</v>
      </c>
      <c r="E22" s="2" t="s">
        <v>30</v>
      </c>
      <c r="F22" s="2">
        <v>2025</v>
      </c>
      <c r="G22" s="2">
        <v>11</v>
      </c>
      <c r="H22" s="2">
        <v>39</v>
      </c>
      <c r="I22" s="2">
        <f t="shared" si="0"/>
        <v>66</v>
      </c>
      <c r="J22" s="2">
        <f t="shared" si="1"/>
        <v>107</v>
      </c>
      <c r="K22" s="2">
        <v>0</v>
      </c>
      <c r="L22" s="2">
        <v>1</v>
      </c>
      <c r="M22" s="2">
        <v>28</v>
      </c>
      <c r="N22" s="2">
        <v>89</v>
      </c>
      <c r="O22" s="2">
        <v>0</v>
      </c>
      <c r="P22" s="2">
        <v>2</v>
      </c>
      <c r="Q22" s="2">
        <v>0</v>
      </c>
      <c r="R22" s="2">
        <v>0</v>
      </c>
      <c r="S22" s="7">
        <v>0</v>
      </c>
      <c r="T22" s="2"/>
      <c r="U22" s="2"/>
      <c r="V22" s="2"/>
      <c r="W22" s="7">
        <v>0.28000000000000003</v>
      </c>
      <c r="X22" s="2">
        <v>0</v>
      </c>
      <c r="Y22" s="2">
        <v>11.2</v>
      </c>
      <c r="Z22" s="2">
        <v>0</v>
      </c>
      <c r="AA22" s="2">
        <v>22.5</v>
      </c>
      <c r="AB22" s="2"/>
      <c r="AC22" s="2"/>
      <c r="AD22" s="2" t="s">
        <v>29</v>
      </c>
    </row>
    <row r="23" spans="1:30" ht="26.25" customHeight="1" x14ac:dyDescent="0.25">
      <c r="A23" s="2" t="s">
        <v>25</v>
      </c>
      <c r="B23" s="2" t="s">
        <v>54</v>
      </c>
      <c r="C23" s="2" t="s">
        <v>59</v>
      </c>
      <c r="D23" s="2">
        <v>140017</v>
      </c>
      <c r="E23" s="2" t="s">
        <v>30</v>
      </c>
      <c r="F23" s="2">
        <v>2025</v>
      </c>
      <c r="G23" s="2">
        <v>23</v>
      </c>
      <c r="H23" s="2">
        <v>28</v>
      </c>
      <c r="I23" s="2">
        <f t="shared" si="0"/>
        <v>71</v>
      </c>
      <c r="J23" s="2">
        <f t="shared" si="1"/>
        <v>81</v>
      </c>
      <c r="K23" s="2">
        <v>1</v>
      </c>
      <c r="L23" s="2">
        <v>2</v>
      </c>
      <c r="M23" s="2">
        <v>35</v>
      </c>
      <c r="N23" s="2">
        <v>104</v>
      </c>
      <c r="O23" s="2">
        <v>1</v>
      </c>
      <c r="P23" s="2">
        <v>2</v>
      </c>
      <c r="Q23" s="2">
        <v>0</v>
      </c>
      <c r="R23" s="2">
        <v>0</v>
      </c>
      <c r="S23" s="7">
        <v>0</v>
      </c>
      <c r="T23" s="2"/>
      <c r="U23" s="2"/>
      <c r="V23" s="2"/>
      <c r="W23" s="7">
        <v>0.82</v>
      </c>
      <c r="X23" s="2">
        <v>28.6</v>
      </c>
      <c r="Y23" s="2">
        <v>19.2</v>
      </c>
      <c r="Z23" s="2">
        <v>28.6</v>
      </c>
      <c r="AA23" s="2">
        <v>19.2</v>
      </c>
      <c r="AB23" s="2"/>
      <c r="AC23" s="2"/>
      <c r="AD23" s="2" t="s">
        <v>29</v>
      </c>
    </row>
    <row r="24" spans="1:30" ht="26.25" customHeight="1" x14ac:dyDescent="0.25">
      <c r="A24" s="2" t="s">
        <v>25</v>
      </c>
      <c r="B24" s="2" t="s">
        <v>54</v>
      </c>
      <c r="C24" s="2" t="s">
        <v>60</v>
      </c>
      <c r="D24" s="2">
        <v>140030</v>
      </c>
      <c r="E24" s="2" t="s">
        <v>30</v>
      </c>
      <c r="F24" s="2">
        <v>2025</v>
      </c>
      <c r="G24" s="2">
        <v>28</v>
      </c>
      <c r="H24" s="2">
        <v>33</v>
      </c>
      <c r="I24" s="2">
        <f t="shared" si="0"/>
        <v>88</v>
      </c>
      <c r="J24" s="2">
        <f t="shared" si="1"/>
        <v>82</v>
      </c>
      <c r="K24" s="2">
        <v>0</v>
      </c>
      <c r="L24" s="2">
        <v>0</v>
      </c>
      <c r="M24" s="2">
        <v>26</v>
      </c>
      <c r="N24" s="2">
        <v>83</v>
      </c>
      <c r="O24" s="2">
        <v>1</v>
      </c>
      <c r="P24" s="2">
        <v>2</v>
      </c>
      <c r="Q24" s="2">
        <v>0</v>
      </c>
      <c r="R24" s="2">
        <v>0</v>
      </c>
      <c r="S24" s="7">
        <v>0</v>
      </c>
      <c r="T24" s="2"/>
      <c r="U24" s="2"/>
      <c r="V24" s="2"/>
      <c r="W24" s="7">
        <v>0.85</v>
      </c>
      <c r="X24" s="2">
        <v>0</v>
      </c>
      <c r="Y24" s="2">
        <v>0</v>
      </c>
      <c r="Z24" s="2">
        <v>38.5</v>
      </c>
      <c r="AA24" s="2">
        <v>24.1</v>
      </c>
      <c r="AB24" s="2"/>
      <c r="AC24" s="2"/>
      <c r="AD24" s="2" t="s">
        <v>29</v>
      </c>
    </row>
    <row r="25" spans="1:30" ht="26.25" customHeight="1" x14ac:dyDescent="0.25">
      <c r="A25" s="2" t="s">
        <v>25</v>
      </c>
      <c r="B25" s="2" t="s">
        <v>54</v>
      </c>
      <c r="C25" s="2" t="s">
        <v>61</v>
      </c>
      <c r="D25" s="2">
        <v>140040</v>
      </c>
      <c r="E25" s="2" t="s">
        <v>30</v>
      </c>
      <c r="F25" s="2">
        <v>2025</v>
      </c>
      <c r="G25" s="2">
        <v>22</v>
      </c>
      <c r="H25" s="2">
        <v>42</v>
      </c>
      <c r="I25" s="2">
        <f t="shared" si="0"/>
        <v>60</v>
      </c>
      <c r="J25" s="2">
        <f t="shared" si="1"/>
        <v>110</v>
      </c>
      <c r="K25" s="2">
        <v>0</v>
      </c>
      <c r="L25" s="2">
        <v>0</v>
      </c>
      <c r="M25" s="2">
        <v>43</v>
      </c>
      <c r="N25" s="2">
        <v>116</v>
      </c>
      <c r="O25" s="2">
        <v>0</v>
      </c>
      <c r="P25" s="2">
        <v>3</v>
      </c>
      <c r="Q25" s="2">
        <v>0</v>
      </c>
      <c r="R25" s="2">
        <v>0</v>
      </c>
      <c r="S25" s="7">
        <v>0</v>
      </c>
      <c r="T25" s="2"/>
      <c r="U25" s="2"/>
      <c r="V25" s="2"/>
      <c r="W25" s="7">
        <v>0.52</v>
      </c>
      <c r="X25" s="2">
        <v>0</v>
      </c>
      <c r="Y25" s="2">
        <v>0</v>
      </c>
      <c r="Z25" s="2">
        <v>0</v>
      </c>
      <c r="AA25" s="2">
        <v>25.9</v>
      </c>
      <c r="AB25" s="2"/>
      <c r="AC25" s="2"/>
      <c r="AD25" s="2" t="s">
        <v>29</v>
      </c>
    </row>
    <row r="26" spans="1:30" ht="26.25" customHeight="1" x14ac:dyDescent="0.25">
      <c r="A26" s="2" t="s">
        <v>25</v>
      </c>
      <c r="B26" s="2" t="s">
        <v>54</v>
      </c>
      <c r="C26" s="2" t="s">
        <v>62</v>
      </c>
      <c r="D26" s="2">
        <v>140045</v>
      </c>
      <c r="E26" s="2" t="s">
        <v>30</v>
      </c>
      <c r="F26" s="2">
        <v>2025</v>
      </c>
      <c r="G26" s="2">
        <v>69</v>
      </c>
      <c r="H26" s="2">
        <v>41</v>
      </c>
      <c r="I26" s="2">
        <f t="shared" si="0"/>
        <v>182</v>
      </c>
      <c r="J26" s="2">
        <f t="shared" si="1"/>
        <v>126</v>
      </c>
      <c r="K26" s="2">
        <v>1</v>
      </c>
      <c r="L26" s="2">
        <v>1</v>
      </c>
      <c r="M26" s="2">
        <v>40</v>
      </c>
      <c r="N26" s="2">
        <v>105</v>
      </c>
      <c r="O26" s="2">
        <v>2</v>
      </c>
      <c r="P26" s="2">
        <v>10</v>
      </c>
      <c r="Q26" s="2">
        <v>0</v>
      </c>
      <c r="R26" s="2">
        <v>0</v>
      </c>
      <c r="S26" s="7">
        <v>0</v>
      </c>
      <c r="T26" s="2"/>
      <c r="U26" s="2"/>
      <c r="V26" s="2"/>
      <c r="W26" s="7">
        <v>1.68</v>
      </c>
      <c r="X26" s="2">
        <v>25</v>
      </c>
      <c r="Y26" s="2">
        <v>9.5</v>
      </c>
      <c r="Z26" s="2">
        <v>50</v>
      </c>
      <c r="AA26" s="2">
        <v>95.2</v>
      </c>
      <c r="AB26" s="2"/>
      <c r="AC26" s="2"/>
      <c r="AD26" s="2" t="s">
        <v>29</v>
      </c>
    </row>
    <row r="27" spans="1:30" ht="26.25" customHeight="1" x14ac:dyDescent="0.25">
      <c r="A27" s="2" t="s">
        <v>25</v>
      </c>
      <c r="B27" s="2" t="s">
        <v>54</v>
      </c>
      <c r="C27" s="2" t="s">
        <v>63</v>
      </c>
      <c r="D27" s="2">
        <v>140070</v>
      </c>
      <c r="E27" s="2" t="s">
        <v>30</v>
      </c>
      <c r="F27" s="2">
        <v>2025</v>
      </c>
      <c r="G27" s="2">
        <v>27</v>
      </c>
      <c r="H27" s="2">
        <v>36</v>
      </c>
      <c r="I27" s="2">
        <f t="shared" si="0"/>
        <v>59</v>
      </c>
      <c r="J27" s="2">
        <f t="shared" si="1"/>
        <v>150</v>
      </c>
      <c r="K27" s="2">
        <v>1</v>
      </c>
      <c r="L27" s="2">
        <v>1</v>
      </c>
      <c r="M27" s="2">
        <v>37</v>
      </c>
      <c r="N27" s="2">
        <v>98</v>
      </c>
      <c r="O27" s="2">
        <v>1</v>
      </c>
      <c r="P27" s="2">
        <v>1</v>
      </c>
      <c r="Q27" s="2">
        <v>0</v>
      </c>
      <c r="R27" s="2">
        <v>0</v>
      </c>
      <c r="S27" s="7">
        <v>0</v>
      </c>
      <c r="T27" s="2"/>
      <c r="U27" s="2"/>
      <c r="V27" s="2"/>
      <c r="W27" s="7">
        <v>0.75</v>
      </c>
      <c r="X27" s="2">
        <v>27</v>
      </c>
      <c r="Y27" s="2">
        <v>10.199999999999999</v>
      </c>
      <c r="Z27" s="2">
        <v>27</v>
      </c>
      <c r="AA27" s="2">
        <v>10.199999999999999</v>
      </c>
      <c r="AB27" s="2"/>
      <c r="AC27" s="2"/>
      <c r="AD27" s="2" t="s">
        <v>29</v>
      </c>
    </row>
    <row r="28" spans="1:30" ht="26.25" customHeight="1" x14ac:dyDescent="0.25">
      <c r="A28" s="2" t="s">
        <v>25</v>
      </c>
      <c r="B28" s="2" t="s">
        <v>54</v>
      </c>
      <c r="C28" s="2" t="s">
        <v>64</v>
      </c>
      <c r="D28" s="2" t="s">
        <v>65</v>
      </c>
      <c r="E28" s="2" t="s">
        <v>30</v>
      </c>
      <c r="F28" s="2">
        <v>2025</v>
      </c>
      <c r="G28" s="2">
        <v>232</v>
      </c>
      <c r="H28" s="2">
        <v>287</v>
      </c>
      <c r="I28" s="2">
        <f t="shared" si="0"/>
        <v>673</v>
      </c>
      <c r="J28" s="2">
        <f t="shared" si="1"/>
        <v>906</v>
      </c>
      <c r="K28" s="2">
        <v>3</v>
      </c>
      <c r="L28" s="2">
        <v>5</v>
      </c>
      <c r="M28" s="2">
        <v>252</v>
      </c>
      <c r="N28" s="2">
        <v>711</v>
      </c>
      <c r="O28" s="2">
        <v>5</v>
      </c>
      <c r="P28" s="2">
        <v>23</v>
      </c>
      <c r="Q28" s="2">
        <v>0</v>
      </c>
      <c r="R28" s="2">
        <v>0</v>
      </c>
      <c r="S28" s="7">
        <v>0</v>
      </c>
      <c r="T28" s="2"/>
      <c r="U28" s="2"/>
      <c r="V28" s="2"/>
      <c r="W28" s="7">
        <v>0.81</v>
      </c>
      <c r="X28" s="2">
        <v>11.9</v>
      </c>
      <c r="Y28" s="2">
        <v>7</v>
      </c>
      <c r="Z28" s="2">
        <v>19.8</v>
      </c>
      <c r="AA28" s="2">
        <v>32.299999999999997</v>
      </c>
      <c r="AB28" s="2"/>
      <c r="AC28" s="2"/>
      <c r="AD28" s="2" t="s">
        <v>66</v>
      </c>
    </row>
    <row r="29" spans="1:30" ht="26.25" customHeight="1" x14ac:dyDescent="0.25">
      <c r="A29" s="2" t="s">
        <v>25</v>
      </c>
      <c r="B29" s="2" t="s">
        <v>54</v>
      </c>
      <c r="C29" s="2" t="s">
        <v>55</v>
      </c>
      <c r="D29" s="2">
        <v>140002</v>
      </c>
      <c r="E29" s="2" t="s">
        <v>31</v>
      </c>
      <c r="F29" s="2">
        <v>2025</v>
      </c>
      <c r="G29" s="2">
        <v>17</v>
      </c>
      <c r="H29" s="2">
        <v>33</v>
      </c>
      <c r="I29" s="2">
        <f t="shared" si="0"/>
        <v>90</v>
      </c>
      <c r="J29" s="2">
        <f t="shared" si="1"/>
        <v>116</v>
      </c>
      <c r="K29" s="2">
        <v>0</v>
      </c>
      <c r="L29" s="2">
        <v>0</v>
      </c>
      <c r="M29" s="2">
        <v>19</v>
      </c>
      <c r="N29" s="2">
        <v>83</v>
      </c>
      <c r="O29" s="2">
        <v>0</v>
      </c>
      <c r="P29" s="2">
        <v>1</v>
      </c>
      <c r="Q29" s="2">
        <v>0</v>
      </c>
      <c r="R29" s="2">
        <v>0</v>
      </c>
      <c r="S29" s="7">
        <v>0</v>
      </c>
      <c r="T29" s="2"/>
      <c r="U29" s="2"/>
      <c r="V29" s="2"/>
      <c r="W29" s="7">
        <v>0.52</v>
      </c>
      <c r="X29" s="2">
        <v>0</v>
      </c>
      <c r="Y29" s="2">
        <v>0</v>
      </c>
      <c r="Z29" s="2">
        <v>0</v>
      </c>
      <c r="AA29" s="2">
        <v>12</v>
      </c>
      <c r="AB29" s="2"/>
      <c r="AC29" s="2"/>
      <c r="AD29" s="2" t="s">
        <v>29</v>
      </c>
    </row>
    <row r="30" spans="1:30" ht="26.25" customHeight="1" x14ac:dyDescent="0.25">
      <c r="A30" s="2" t="s">
        <v>25</v>
      </c>
      <c r="B30" s="2" t="s">
        <v>54</v>
      </c>
      <c r="C30" s="2" t="s">
        <v>57</v>
      </c>
      <c r="D30" s="2">
        <v>140005</v>
      </c>
      <c r="E30" s="2" t="s">
        <v>31</v>
      </c>
      <c r="F30" s="2">
        <v>2025</v>
      </c>
      <c r="G30" s="2">
        <v>27</v>
      </c>
      <c r="H30" s="2">
        <v>61</v>
      </c>
      <c r="I30" s="2">
        <f t="shared" si="0"/>
        <v>101</v>
      </c>
      <c r="J30" s="2">
        <f t="shared" si="1"/>
        <v>228</v>
      </c>
      <c r="K30" s="2">
        <v>0</v>
      </c>
      <c r="L30" s="2">
        <v>0</v>
      </c>
      <c r="M30" s="2">
        <v>28</v>
      </c>
      <c r="N30" s="2">
        <v>80</v>
      </c>
      <c r="O30" s="2">
        <v>0</v>
      </c>
      <c r="P30" s="2">
        <v>2</v>
      </c>
      <c r="Q30" s="2">
        <v>0</v>
      </c>
      <c r="R30" s="2">
        <v>0</v>
      </c>
      <c r="S30" s="7">
        <v>0</v>
      </c>
      <c r="T30" s="2"/>
      <c r="U30" s="2"/>
      <c r="V30" s="2"/>
      <c r="W30" s="7">
        <v>0.44</v>
      </c>
      <c r="X30" s="2">
        <v>0</v>
      </c>
      <c r="Y30" s="2">
        <v>0</v>
      </c>
      <c r="Z30" s="2">
        <v>0</v>
      </c>
      <c r="AA30" s="2">
        <v>25</v>
      </c>
      <c r="AB30" s="2"/>
      <c r="AC30" s="2"/>
      <c r="AD30" s="2" t="s">
        <v>29</v>
      </c>
    </row>
    <row r="31" spans="1:30" ht="26.25" customHeight="1" x14ac:dyDescent="0.25">
      <c r="A31" s="2" t="s">
        <v>25</v>
      </c>
      <c r="B31" s="2" t="s">
        <v>54</v>
      </c>
      <c r="C31" s="2" t="s">
        <v>58</v>
      </c>
      <c r="D31" s="2">
        <v>140015</v>
      </c>
      <c r="E31" s="2" t="s">
        <v>31</v>
      </c>
      <c r="F31" s="2">
        <v>2025</v>
      </c>
      <c r="G31" s="2">
        <v>20</v>
      </c>
      <c r="H31" s="2">
        <v>29</v>
      </c>
      <c r="I31" s="2">
        <f t="shared" si="0"/>
        <v>86</v>
      </c>
      <c r="J31" s="2">
        <f t="shared" si="1"/>
        <v>136</v>
      </c>
      <c r="K31" s="2">
        <v>0</v>
      </c>
      <c r="L31" s="2">
        <v>1</v>
      </c>
      <c r="M31" s="2">
        <v>40</v>
      </c>
      <c r="N31" s="2">
        <v>129</v>
      </c>
      <c r="O31" s="2">
        <v>0</v>
      </c>
      <c r="P31" s="2">
        <v>2</v>
      </c>
      <c r="Q31" s="2">
        <v>0</v>
      </c>
      <c r="R31" s="2">
        <v>0</v>
      </c>
      <c r="S31" s="7">
        <v>0</v>
      </c>
      <c r="T31" s="2"/>
      <c r="U31" s="2"/>
      <c r="V31" s="2"/>
      <c r="W31" s="7">
        <v>0.69</v>
      </c>
      <c r="X31" s="2">
        <v>0</v>
      </c>
      <c r="Y31" s="2">
        <v>7.8</v>
      </c>
      <c r="Z31" s="2">
        <v>0</v>
      </c>
      <c r="AA31" s="2">
        <v>15.5</v>
      </c>
      <c r="AB31" s="2"/>
      <c r="AC31" s="2"/>
      <c r="AD31" s="2" t="s">
        <v>29</v>
      </c>
    </row>
    <row r="32" spans="1:30" ht="26.25" customHeight="1" x14ac:dyDescent="0.25">
      <c r="A32" s="2" t="s">
        <v>25</v>
      </c>
      <c r="B32" s="2" t="s">
        <v>54</v>
      </c>
      <c r="C32" s="2" t="s">
        <v>59</v>
      </c>
      <c r="D32" s="2">
        <v>140017</v>
      </c>
      <c r="E32" s="2" t="s">
        <v>31</v>
      </c>
      <c r="F32" s="2">
        <v>2025</v>
      </c>
      <c r="G32" s="2">
        <v>26</v>
      </c>
      <c r="H32" s="2">
        <v>39</v>
      </c>
      <c r="I32" s="2">
        <f t="shared" si="0"/>
        <v>97</v>
      </c>
      <c r="J32" s="2">
        <f t="shared" si="1"/>
        <v>120</v>
      </c>
      <c r="K32" s="2">
        <v>0</v>
      </c>
      <c r="L32" s="2">
        <v>2</v>
      </c>
      <c r="M32" s="2">
        <v>25</v>
      </c>
      <c r="N32" s="2">
        <v>129</v>
      </c>
      <c r="O32" s="2">
        <v>0</v>
      </c>
      <c r="P32" s="2">
        <v>2</v>
      </c>
      <c r="Q32" s="2">
        <v>0</v>
      </c>
      <c r="R32" s="2">
        <v>0</v>
      </c>
      <c r="S32" s="7">
        <v>0</v>
      </c>
      <c r="T32" s="2"/>
      <c r="U32" s="2"/>
      <c r="V32" s="2"/>
      <c r="W32" s="7">
        <v>0.67</v>
      </c>
      <c r="X32" s="2">
        <v>0</v>
      </c>
      <c r="Y32" s="2">
        <v>15.5</v>
      </c>
      <c r="Z32" s="2">
        <v>0</v>
      </c>
      <c r="AA32" s="2">
        <v>15.5</v>
      </c>
      <c r="AB32" s="2"/>
      <c r="AC32" s="2"/>
      <c r="AD32" s="2" t="s">
        <v>29</v>
      </c>
    </row>
    <row r="33" spans="1:30" ht="26.25" customHeight="1" x14ac:dyDescent="0.25">
      <c r="A33" s="2" t="s">
        <v>25</v>
      </c>
      <c r="B33" s="2" t="s">
        <v>54</v>
      </c>
      <c r="C33" s="2" t="s">
        <v>60</v>
      </c>
      <c r="D33" s="2">
        <v>140030</v>
      </c>
      <c r="E33" s="2" t="s">
        <v>31</v>
      </c>
      <c r="F33" s="2">
        <v>2025</v>
      </c>
      <c r="G33" s="2">
        <v>14</v>
      </c>
      <c r="H33" s="2">
        <v>23</v>
      </c>
      <c r="I33" s="2">
        <f t="shared" si="0"/>
        <v>102</v>
      </c>
      <c r="J33" s="2">
        <f t="shared" si="1"/>
        <v>105</v>
      </c>
      <c r="K33" s="2">
        <v>0</v>
      </c>
      <c r="L33" s="2">
        <v>0</v>
      </c>
      <c r="M33" s="2">
        <v>20</v>
      </c>
      <c r="N33" s="2">
        <v>103</v>
      </c>
      <c r="O33" s="2">
        <v>0</v>
      </c>
      <c r="P33" s="2">
        <v>2</v>
      </c>
      <c r="Q33" s="2">
        <v>0</v>
      </c>
      <c r="R33" s="2">
        <v>0</v>
      </c>
      <c r="S33" s="7">
        <v>0</v>
      </c>
      <c r="T33" s="2"/>
      <c r="U33" s="2"/>
      <c r="V33" s="2"/>
      <c r="W33" s="7">
        <v>0.61</v>
      </c>
      <c r="X33" s="2">
        <v>0</v>
      </c>
      <c r="Y33" s="2">
        <v>0</v>
      </c>
      <c r="Z33" s="2">
        <v>0</v>
      </c>
      <c r="AA33" s="2">
        <v>19.399999999999999</v>
      </c>
      <c r="AB33" s="2"/>
      <c r="AC33" s="2"/>
      <c r="AD33" s="2" t="s">
        <v>29</v>
      </c>
    </row>
    <row r="34" spans="1:30" ht="26.25" customHeight="1" x14ac:dyDescent="0.25">
      <c r="A34" s="2" t="s">
        <v>25</v>
      </c>
      <c r="B34" s="2" t="s">
        <v>54</v>
      </c>
      <c r="C34" s="2" t="s">
        <v>61</v>
      </c>
      <c r="D34" s="2">
        <v>140040</v>
      </c>
      <c r="E34" s="2" t="s">
        <v>31</v>
      </c>
      <c r="F34" s="2">
        <v>2025</v>
      </c>
      <c r="G34" s="2">
        <v>18</v>
      </c>
      <c r="H34" s="2">
        <v>28</v>
      </c>
      <c r="I34" s="2">
        <f t="shared" si="0"/>
        <v>78</v>
      </c>
      <c r="J34" s="2">
        <f t="shared" si="1"/>
        <v>138</v>
      </c>
      <c r="K34" s="2">
        <v>0</v>
      </c>
      <c r="L34" s="2">
        <v>0</v>
      </c>
      <c r="M34" s="2">
        <v>35</v>
      </c>
      <c r="N34" s="2">
        <v>151</v>
      </c>
      <c r="O34" s="2">
        <v>0</v>
      </c>
      <c r="P34" s="2">
        <v>3</v>
      </c>
      <c r="Q34" s="2">
        <v>0</v>
      </c>
      <c r="R34" s="2">
        <v>0</v>
      </c>
      <c r="S34" s="7">
        <v>0</v>
      </c>
      <c r="T34" s="2"/>
      <c r="U34" s="2"/>
      <c r="V34" s="2"/>
      <c r="W34" s="7">
        <v>0.64</v>
      </c>
      <c r="X34" s="2">
        <v>0</v>
      </c>
      <c r="Y34" s="2">
        <v>0</v>
      </c>
      <c r="Z34" s="2">
        <v>0</v>
      </c>
      <c r="AA34" s="2">
        <v>19.899999999999999</v>
      </c>
      <c r="AB34" s="2"/>
      <c r="AC34" s="2"/>
      <c r="AD34" s="2" t="s">
        <v>29</v>
      </c>
    </row>
    <row r="35" spans="1:30" ht="26.25" customHeight="1" x14ac:dyDescent="0.25">
      <c r="A35" s="2" t="s">
        <v>25</v>
      </c>
      <c r="B35" s="2" t="s">
        <v>54</v>
      </c>
      <c r="C35" s="2" t="s">
        <v>62</v>
      </c>
      <c r="D35" s="2">
        <v>140045</v>
      </c>
      <c r="E35" s="2" t="s">
        <v>31</v>
      </c>
      <c r="F35" s="2">
        <v>2025</v>
      </c>
      <c r="G35" s="2">
        <v>58</v>
      </c>
      <c r="H35" s="2">
        <v>36</v>
      </c>
      <c r="I35" s="2">
        <f t="shared" si="0"/>
        <v>240</v>
      </c>
      <c r="J35" s="2">
        <f t="shared" si="1"/>
        <v>162</v>
      </c>
      <c r="K35" s="2">
        <v>0</v>
      </c>
      <c r="L35" s="2">
        <v>1</v>
      </c>
      <c r="M35" s="2">
        <v>29</v>
      </c>
      <c r="N35" s="2">
        <v>134</v>
      </c>
      <c r="O35" s="2">
        <v>3</v>
      </c>
      <c r="P35" s="2">
        <v>13</v>
      </c>
      <c r="Q35" s="2">
        <v>0</v>
      </c>
      <c r="R35" s="2">
        <v>0</v>
      </c>
      <c r="S35" s="7">
        <v>0</v>
      </c>
      <c r="T35" s="2"/>
      <c r="U35" s="2"/>
      <c r="V35" s="2"/>
      <c r="W35" s="7">
        <v>1.61</v>
      </c>
      <c r="X35" s="2">
        <v>0</v>
      </c>
      <c r="Y35" s="2">
        <v>7.5</v>
      </c>
      <c r="Z35" s="2">
        <v>103.4</v>
      </c>
      <c r="AA35" s="2">
        <v>97</v>
      </c>
      <c r="AB35" s="2"/>
      <c r="AC35" s="2"/>
      <c r="AD35" s="2" t="s">
        <v>29</v>
      </c>
    </row>
    <row r="36" spans="1:30" ht="26.25" customHeight="1" x14ac:dyDescent="0.25">
      <c r="A36" s="2" t="s">
        <v>25</v>
      </c>
      <c r="B36" s="2" t="s">
        <v>54</v>
      </c>
      <c r="C36" s="2" t="s">
        <v>63</v>
      </c>
      <c r="D36" s="2">
        <v>140070</v>
      </c>
      <c r="E36" s="2" t="s">
        <v>31</v>
      </c>
      <c r="F36" s="2">
        <v>2025</v>
      </c>
      <c r="G36" s="2">
        <v>11</v>
      </c>
      <c r="H36" s="2">
        <v>37</v>
      </c>
      <c r="I36" s="2">
        <f t="shared" si="0"/>
        <v>70</v>
      </c>
      <c r="J36" s="2">
        <f t="shared" si="1"/>
        <v>187</v>
      </c>
      <c r="K36" s="2">
        <v>0</v>
      </c>
      <c r="L36" s="2">
        <v>1</v>
      </c>
      <c r="M36" s="2">
        <v>33</v>
      </c>
      <c r="N36" s="2">
        <v>131</v>
      </c>
      <c r="O36" s="2">
        <v>0</v>
      </c>
      <c r="P36" s="2">
        <v>1</v>
      </c>
      <c r="Q36" s="2">
        <v>0</v>
      </c>
      <c r="R36" s="2">
        <v>0</v>
      </c>
      <c r="S36" s="7">
        <v>0</v>
      </c>
      <c r="T36" s="2"/>
      <c r="U36" s="2"/>
      <c r="V36" s="2"/>
      <c r="W36" s="7">
        <v>0.3</v>
      </c>
      <c r="X36" s="2">
        <v>0</v>
      </c>
      <c r="Y36" s="2">
        <v>7.6</v>
      </c>
      <c r="Z36" s="2">
        <v>0</v>
      </c>
      <c r="AA36" s="2">
        <v>7.6</v>
      </c>
      <c r="AB36" s="2"/>
      <c r="AC36" s="2"/>
      <c r="AD36" s="2" t="s">
        <v>29</v>
      </c>
    </row>
    <row r="37" spans="1:30" ht="26.25" customHeight="1" x14ac:dyDescent="0.25">
      <c r="A37" s="2" t="s">
        <v>25</v>
      </c>
      <c r="B37" s="2" t="s">
        <v>54</v>
      </c>
      <c r="C37" s="2" t="s">
        <v>64</v>
      </c>
      <c r="D37" s="2" t="s">
        <v>65</v>
      </c>
      <c r="E37" s="2" t="s">
        <v>31</v>
      </c>
      <c r="F37" s="2">
        <v>2025</v>
      </c>
      <c r="G37" s="2">
        <v>191</v>
      </c>
      <c r="H37" s="2">
        <v>286</v>
      </c>
      <c r="I37" s="2">
        <f t="shared" si="0"/>
        <v>864</v>
      </c>
      <c r="J37" s="2">
        <f t="shared" si="1"/>
        <v>1192</v>
      </c>
      <c r="K37" s="2">
        <v>0</v>
      </c>
      <c r="L37" s="2">
        <v>5</v>
      </c>
      <c r="M37" s="2">
        <v>229</v>
      </c>
      <c r="N37" s="2">
        <v>940</v>
      </c>
      <c r="O37" s="2">
        <v>3</v>
      </c>
      <c r="P37" s="2">
        <v>26</v>
      </c>
      <c r="Q37" s="2">
        <v>0</v>
      </c>
      <c r="R37" s="2">
        <v>0</v>
      </c>
      <c r="S37" s="7">
        <v>0</v>
      </c>
      <c r="T37" s="2"/>
      <c r="U37" s="2"/>
      <c r="V37" s="2"/>
      <c r="W37" s="7">
        <v>0.67</v>
      </c>
      <c r="X37" s="2">
        <v>0</v>
      </c>
      <c r="Y37" s="2">
        <v>5.3</v>
      </c>
      <c r="Z37" s="2">
        <v>13.1</v>
      </c>
      <c r="AA37" s="2">
        <v>27.7</v>
      </c>
      <c r="AB37" s="2"/>
      <c r="AC37" s="2"/>
      <c r="AD37" s="2" t="s">
        <v>66</v>
      </c>
    </row>
    <row r="38" spans="1:30" ht="26.25" customHeight="1" x14ac:dyDescent="0.25">
      <c r="A38" s="2" t="s">
        <v>25</v>
      </c>
      <c r="B38" s="2" t="s">
        <v>54</v>
      </c>
      <c r="C38" s="2" t="s">
        <v>55</v>
      </c>
      <c r="D38" s="2">
        <v>140002</v>
      </c>
      <c r="E38" s="2" t="s">
        <v>68</v>
      </c>
      <c r="F38" s="2">
        <v>2025</v>
      </c>
      <c r="G38" s="2">
        <v>26</v>
      </c>
      <c r="H38" s="2">
        <v>26</v>
      </c>
      <c r="I38" s="2">
        <f t="shared" si="0"/>
        <v>116</v>
      </c>
      <c r="J38" s="2">
        <f t="shared" si="1"/>
        <v>142</v>
      </c>
      <c r="K38" s="2">
        <v>0</v>
      </c>
      <c r="L38" s="2">
        <v>0</v>
      </c>
      <c r="M38" s="2">
        <v>22</v>
      </c>
      <c r="N38" s="2">
        <v>105</v>
      </c>
      <c r="O38" s="2">
        <v>0</v>
      </c>
      <c r="P38" s="2">
        <v>1</v>
      </c>
      <c r="Q38" s="2">
        <v>0</v>
      </c>
      <c r="R38" s="2">
        <v>0</v>
      </c>
      <c r="S38" s="7">
        <v>0</v>
      </c>
      <c r="T38" s="2"/>
      <c r="U38" s="2"/>
      <c r="V38" s="2"/>
      <c r="W38" s="7">
        <v>1</v>
      </c>
      <c r="X38" s="2">
        <v>0</v>
      </c>
      <c r="Y38" s="2">
        <v>0</v>
      </c>
      <c r="Z38" s="2">
        <v>0</v>
      </c>
      <c r="AA38" s="2">
        <v>9.5</v>
      </c>
      <c r="AB38" s="2"/>
      <c r="AC38" s="2"/>
      <c r="AD38" s="2" t="s">
        <v>29</v>
      </c>
    </row>
    <row r="39" spans="1:30" ht="26.25" customHeight="1" x14ac:dyDescent="0.25">
      <c r="A39" s="2" t="s">
        <v>25</v>
      </c>
      <c r="B39" s="2" t="s">
        <v>54</v>
      </c>
      <c r="C39" s="2" t="s">
        <v>57</v>
      </c>
      <c r="D39" s="2">
        <v>140005</v>
      </c>
      <c r="E39" s="2" t="s">
        <v>68</v>
      </c>
      <c r="F39" s="2">
        <v>2025</v>
      </c>
      <c r="G39" s="2">
        <v>27</v>
      </c>
      <c r="H39" s="2">
        <v>60</v>
      </c>
      <c r="I39" s="2">
        <f t="shared" si="0"/>
        <v>128</v>
      </c>
      <c r="J39" s="2">
        <f t="shared" si="1"/>
        <v>288</v>
      </c>
      <c r="K39" s="2">
        <v>0</v>
      </c>
      <c r="L39" s="2">
        <v>0</v>
      </c>
      <c r="M39" s="2">
        <v>21</v>
      </c>
      <c r="N39" s="2">
        <v>101</v>
      </c>
      <c r="O39" s="2">
        <v>0</v>
      </c>
      <c r="P39" s="2">
        <v>2</v>
      </c>
      <c r="Q39" s="2">
        <v>0</v>
      </c>
      <c r="R39" s="2">
        <v>0</v>
      </c>
      <c r="S39" s="7">
        <v>0</v>
      </c>
      <c r="T39" s="2"/>
      <c r="U39" s="2"/>
      <c r="V39" s="2"/>
      <c r="W39" s="7">
        <v>0.45</v>
      </c>
      <c r="X39" s="2">
        <v>0</v>
      </c>
      <c r="Y39" s="2">
        <v>0</v>
      </c>
      <c r="Z39" s="2">
        <v>0</v>
      </c>
      <c r="AA39" s="2">
        <v>19.8</v>
      </c>
      <c r="AB39" s="2"/>
      <c r="AC39" s="2"/>
      <c r="AD39" s="2" t="s">
        <v>29</v>
      </c>
    </row>
    <row r="40" spans="1:30" ht="26.25" customHeight="1" x14ac:dyDescent="0.25">
      <c r="A40" s="2" t="s">
        <v>25</v>
      </c>
      <c r="B40" s="2" t="s">
        <v>54</v>
      </c>
      <c r="C40" s="2" t="s">
        <v>58</v>
      </c>
      <c r="D40" s="2">
        <v>140015</v>
      </c>
      <c r="E40" s="2" t="s">
        <v>68</v>
      </c>
      <c r="F40" s="2">
        <v>2025</v>
      </c>
      <c r="G40" s="2">
        <v>28</v>
      </c>
      <c r="H40" s="2">
        <v>40</v>
      </c>
      <c r="I40" s="2">
        <f t="shared" si="0"/>
        <v>114</v>
      </c>
      <c r="J40" s="2">
        <f t="shared" si="1"/>
        <v>176</v>
      </c>
      <c r="K40" s="2">
        <v>0</v>
      </c>
      <c r="L40" s="2">
        <v>1</v>
      </c>
      <c r="M40" s="2">
        <v>34</v>
      </c>
      <c r="N40" s="2">
        <v>163</v>
      </c>
      <c r="O40" s="2">
        <v>0</v>
      </c>
      <c r="P40" s="2">
        <v>2</v>
      </c>
      <c r="Q40" s="2">
        <v>0</v>
      </c>
      <c r="R40" s="2">
        <v>0</v>
      </c>
      <c r="S40" s="7">
        <v>0</v>
      </c>
      <c r="T40" s="2"/>
      <c r="U40" s="2"/>
      <c r="V40" s="2"/>
      <c r="W40" s="7">
        <v>0.7</v>
      </c>
      <c r="X40" s="2">
        <v>0</v>
      </c>
      <c r="Y40" s="2">
        <v>6.1</v>
      </c>
      <c r="Z40" s="2">
        <v>0</v>
      </c>
      <c r="AA40" s="2">
        <v>12.3</v>
      </c>
      <c r="AB40" s="2"/>
      <c r="AC40" s="2"/>
      <c r="AD40" s="2" t="s">
        <v>29</v>
      </c>
    </row>
    <row r="41" spans="1:30" ht="26.25" customHeight="1" x14ac:dyDescent="0.25">
      <c r="A41" s="2" t="s">
        <v>25</v>
      </c>
      <c r="B41" s="2" t="s">
        <v>54</v>
      </c>
      <c r="C41" s="2" t="s">
        <v>59</v>
      </c>
      <c r="D41" s="2">
        <v>140017</v>
      </c>
      <c r="E41" s="2" t="s">
        <v>32</v>
      </c>
      <c r="F41" s="2">
        <v>2025</v>
      </c>
      <c r="G41" s="2">
        <v>28</v>
      </c>
      <c r="H41" s="2">
        <v>27</v>
      </c>
      <c r="I41" s="2">
        <f t="shared" si="0"/>
        <v>125</v>
      </c>
      <c r="J41" s="2">
        <f t="shared" si="1"/>
        <v>147</v>
      </c>
      <c r="K41" s="2">
        <v>0</v>
      </c>
      <c r="L41" s="2">
        <v>2</v>
      </c>
      <c r="M41" s="2">
        <v>39</v>
      </c>
      <c r="N41" s="2">
        <v>168</v>
      </c>
      <c r="O41" s="2">
        <v>0</v>
      </c>
      <c r="P41" s="2">
        <v>2</v>
      </c>
      <c r="Q41" s="2">
        <v>0</v>
      </c>
      <c r="R41" s="2">
        <v>0</v>
      </c>
      <c r="S41" s="7">
        <v>0</v>
      </c>
      <c r="T41" s="2"/>
      <c r="U41" s="2"/>
      <c r="V41" s="2"/>
      <c r="W41" s="7">
        <v>1.04</v>
      </c>
      <c r="X41" s="2">
        <v>0</v>
      </c>
      <c r="Y41" s="2">
        <v>11.9</v>
      </c>
      <c r="Z41" s="2">
        <v>0</v>
      </c>
      <c r="AA41" s="2">
        <v>11.9</v>
      </c>
      <c r="AB41" s="2"/>
      <c r="AC41" s="2"/>
      <c r="AD41" s="2" t="s">
        <v>29</v>
      </c>
    </row>
    <row r="42" spans="1:30" ht="26.25" customHeight="1" x14ac:dyDescent="0.25">
      <c r="A42" s="2" t="s">
        <v>25</v>
      </c>
      <c r="B42" s="2" t="s">
        <v>54</v>
      </c>
      <c r="C42" s="2" t="s">
        <v>60</v>
      </c>
      <c r="D42" s="2">
        <v>140030</v>
      </c>
      <c r="E42" s="2" t="s">
        <v>32</v>
      </c>
      <c r="F42" s="2">
        <v>2025</v>
      </c>
      <c r="G42" s="2">
        <v>27</v>
      </c>
      <c r="H42" s="2">
        <v>27</v>
      </c>
      <c r="I42" s="2">
        <f t="shared" si="0"/>
        <v>129</v>
      </c>
      <c r="J42" s="2">
        <f t="shared" si="1"/>
        <v>132</v>
      </c>
      <c r="K42" s="2">
        <v>0</v>
      </c>
      <c r="L42" s="2">
        <v>0</v>
      </c>
      <c r="M42" s="2">
        <v>17</v>
      </c>
      <c r="N42" s="2">
        <v>120</v>
      </c>
      <c r="O42" s="2">
        <v>0</v>
      </c>
      <c r="P42" s="2">
        <v>2</v>
      </c>
      <c r="Q42" s="2">
        <v>0</v>
      </c>
      <c r="R42" s="2">
        <v>0</v>
      </c>
      <c r="S42" s="7">
        <v>0</v>
      </c>
      <c r="T42" s="2"/>
      <c r="U42" s="2"/>
      <c r="V42" s="2"/>
      <c r="W42" s="7">
        <v>1</v>
      </c>
      <c r="X42" s="2">
        <v>0</v>
      </c>
      <c r="Y42" s="2">
        <v>0</v>
      </c>
      <c r="Z42" s="2">
        <v>0</v>
      </c>
      <c r="AA42" s="2">
        <v>16.7</v>
      </c>
      <c r="AB42" s="2"/>
      <c r="AC42" s="2"/>
      <c r="AD42" s="2" t="s">
        <v>29</v>
      </c>
    </row>
    <row r="43" spans="1:30" ht="26.25" customHeight="1" x14ac:dyDescent="0.25">
      <c r="A43" s="2" t="s">
        <v>25</v>
      </c>
      <c r="B43" s="2" t="s">
        <v>54</v>
      </c>
      <c r="C43" s="2" t="s">
        <v>61</v>
      </c>
      <c r="D43" s="2">
        <v>140040</v>
      </c>
      <c r="E43" s="2" t="s">
        <v>32</v>
      </c>
      <c r="F43" s="2">
        <v>2025</v>
      </c>
      <c r="G43" s="2">
        <v>33</v>
      </c>
      <c r="H43" s="2">
        <v>38</v>
      </c>
      <c r="I43" s="2">
        <f t="shared" si="0"/>
        <v>111</v>
      </c>
      <c r="J43" s="2">
        <f t="shared" si="1"/>
        <v>176</v>
      </c>
      <c r="K43" s="2">
        <v>0</v>
      </c>
      <c r="L43" s="2">
        <v>0</v>
      </c>
      <c r="M43" s="2">
        <v>41</v>
      </c>
      <c r="N43" s="2">
        <v>192</v>
      </c>
      <c r="O43" s="2">
        <v>0</v>
      </c>
      <c r="P43" s="2">
        <v>3</v>
      </c>
      <c r="Q43" s="2">
        <v>0</v>
      </c>
      <c r="R43" s="2">
        <v>0</v>
      </c>
      <c r="S43" s="7">
        <v>0</v>
      </c>
      <c r="T43" s="2"/>
      <c r="U43" s="2"/>
      <c r="V43" s="2"/>
      <c r="W43" s="7">
        <v>0.87</v>
      </c>
      <c r="X43" s="2">
        <v>0</v>
      </c>
      <c r="Y43" s="2">
        <v>0</v>
      </c>
      <c r="Z43" s="2">
        <v>0</v>
      </c>
      <c r="AA43" s="2">
        <v>15.6</v>
      </c>
      <c r="AB43" s="2"/>
      <c r="AC43" s="2"/>
      <c r="AD43" s="2" t="s">
        <v>29</v>
      </c>
    </row>
    <row r="44" spans="1:30" ht="26.25" customHeight="1" x14ac:dyDescent="0.25">
      <c r="A44" s="2" t="s">
        <v>25</v>
      </c>
      <c r="B44" s="2" t="s">
        <v>54</v>
      </c>
      <c r="C44" s="2" t="s">
        <v>62</v>
      </c>
      <c r="D44" s="2">
        <v>140045</v>
      </c>
      <c r="E44" s="2" t="s">
        <v>32</v>
      </c>
      <c r="F44" s="2">
        <v>2025</v>
      </c>
      <c r="G44" s="2">
        <v>83</v>
      </c>
      <c r="H44" s="2">
        <v>45</v>
      </c>
      <c r="I44" s="2">
        <f t="shared" si="0"/>
        <v>323</v>
      </c>
      <c r="J44" s="2">
        <f t="shared" si="1"/>
        <v>207</v>
      </c>
      <c r="K44" s="2">
        <v>0</v>
      </c>
      <c r="L44" s="2">
        <v>1</v>
      </c>
      <c r="M44" s="2">
        <v>34</v>
      </c>
      <c r="N44" s="2">
        <v>168</v>
      </c>
      <c r="O44" s="2">
        <v>2</v>
      </c>
      <c r="P44" s="2">
        <v>15</v>
      </c>
      <c r="Q44" s="2">
        <v>0</v>
      </c>
      <c r="R44" s="2">
        <v>0</v>
      </c>
      <c r="S44" s="7">
        <v>0</v>
      </c>
      <c r="T44" s="2"/>
      <c r="U44" s="2"/>
      <c r="V44" s="2"/>
      <c r="W44" s="7">
        <v>1.84</v>
      </c>
      <c r="X44" s="2">
        <v>0</v>
      </c>
      <c r="Y44" s="2">
        <v>6</v>
      </c>
      <c r="Z44" s="2">
        <v>58.8</v>
      </c>
      <c r="AA44" s="2">
        <v>89.3</v>
      </c>
      <c r="AB44" s="2"/>
      <c r="AC44" s="2"/>
      <c r="AD44" s="2" t="s">
        <v>29</v>
      </c>
    </row>
    <row r="45" spans="1:30" ht="26.25" customHeight="1" x14ac:dyDescent="0.25">
      <c r="A45" s="2" t="s">
        <v>25</v>
      </c>
      <c r="B45" s="2" t="s">
        <v>54</v>
      </c>
      <c r="C45" s="2" t="s">
        <v>63</v>
      </c>
      <c r="D45" s="2">
        <v>140070</v>
      </c>
      <c r="E45" s="2" t="s">
        <v>32</v>
      </c>
      <c r="F45" s="2">
        <v>2025</v>
      </c>
      <c r="G45" s="2">
        <v>30</v>
      </c>
      <c r="H45" s="2">
        <v>45</v>
      </c>
      <c r="I45" s="2">
        <f t="shared" si="0"/>
        <v>100</v>
      </c>
      <c r="J45" s="2">
        <f t="shared" si="1"/>
        <v>232</v>
      </c>
      <c r="K45" s="2">
        <v>0</v>
      </c>
      <c r="L45" s="2">
        <v>1</v>
      </c>
      <c r="M45" s="2">
        <v>30</v>
      </c>
      <c r="N45" s="2">
        <v>161</v>
      </c>
      <c r="O45" s="2">
        <v>1</v>
      </c>
      <c r="P45" s="2">
        <v>2</v>
      </c>
      <c r="Q45" s="2">
        <v>0</v>
      </c>
      <c r="R45" s="2">
        <v>0</v>
      </c>
      <c r="S45" s="7">
        <v>0</v>
      </c>
      <c r="T45" s="2"/>
      <c r="U45" s="2"/>
      <c r="V45" s="2"/>
      <c r="W45" s="7">
        <v>0.67</v>
      </c>
      <c r="X45" s="2">
        <v>0</v>
      </c>
      <c r="Y45" s="2">
        <v>6.2</v>
      </c>
      <c r="Z45" s="2">
        <v>33.299999999999997</v>
      </c>
      <c r="AA45" s="2">
        <v>12.4</v>
      </c>
      <c r="AB45" s="2"/>
      <c r="AC45" s="2"/>
      <c r="AD45" s="2" t="s">
        <v>29</v>
      </c>
    </row>
    <row r="46" spans="1:30" ht="26.25" customHeight="1" x14ac:dyDescent="0.25">
      <c r="A46" s="2" t="s">
        <v>25</v>
      </c>
      <c r="B46" s="2" t="s">
        <v>54</v>
      </c>
      <c r="C46" s="2" t="s">
        <v>64</v>
      </c>
      <c r="D46" s="2" t="s">
        <v>65</v>
      </c>
      <c r="E46" s="2" t="s">
        <v>32</v>
      </c>
      <c r="F46" s="2">
        <v>2025</v>
      </c>
      <c r="G46" s="2">
        <v>282</v>
      </c>
      <c r="H46" s="2">
        <v>308</v>
      </c>
      <c r="I46" s="2">
        <f t="shared" si="0"/>
        <v>1146</v>
      </c>
      <c r="J46" s="2">
        <f t="shared" si="1"/>
        <v>1500</v>
      </c>
      <c r="K46" s="2">
        <v>0</v>
      </c>
      <c r="L46" s="2">
        <v>5</v>
      </c>
      <c r="M46" s="2">
        <v>238</v>
      </c>
      <c r="N46" s="2">
        <v>1178</v>
      </c>
      <c r="O46" s="2">
        <v>3</v>
      </c>
      <c r="P46" s="2">
        <v>29</v>
      </c>
      <c r="Q46" s="2">
        <v>0</v>
      </c>
      <c r="R46" s="2">
        <v>0</v>
      </c>
      <c r="S46" s="7">
        <v>0</v>
      </c>
      <c r="T46" s="2"/>
      <c r="U46" s="2"/>
      <c r="V46" s="2"/>
      <c r="W46" s="7">
        <v>0.92</v>
      </c>
      <c r="X46" s="2">
        <v>0</v>
      </c>
      <c r="Y46" s="2">
        <v>4.2</v>
      </c>
      <c r="Z46" s="2">
        <v>12.6</v>
      </c>
      <c r="AA46" s="2">
        <v>24.6</v>
      </c>
      <c r="AB46" s="2"/>
      <c r="AC46" s="2"/>
      <c r="AD46" s="2" t="s">
        <v>66</v>
      </c>
    </row>
    <row r="47" spans="1:30" ht="26.25" customHeight="1" x14ac:dyDescent="0.25">
      <c r="A47" s="2" t="s">
        <v>25</v>
      </c>
      <c r="B47" s="2" t="s">
        <v>54</v>
      </c>
      <c r="C47" s="2" t="s">
        <v>55</v>
      </c>
      <c r="D47" s="2">
        <v>140002</v>
      </c>
      <c r="E47" s="2" t="s">
        <v>33</v>
      </c>
      <c r="F47" s="2">
        <v>2025</v>
      </c>
      <c r="G47" s="2">
        <v>28</v>
      </c>
      <c r="H47" s="2">
        <v>23</v>
      </c>
      <c r="I47" s="2">
        <f t="shared" si="0"/>
        <v>144</v>
      </c>
      <c r="J47" s="2">
        <f t="shared" si="1"/>
        <v>165</v>
      </c>
      <c r="K47" s="2">
        <v>0</v>
      </c>
      <c r="L47" s="2">
        <v>0</v>
      </c>
      <c r="M47" s="2">
        <v>28</v>
      </c>
      <c r="N47" s="2">
        <v>133</v>
      </c>
      <c r="O47" s="2">
        <v>0</v>
      </c>
      <c r="P47" s="2">
        <v>1</v>
      </c>
      <c r="Q47" s="2">
        <v>4739</v>
      </c>
      <c r="R47" s="2">
        <v>10000</v>
      </c>
      <c r="S47" s="7">
        <v>0.47</v>
      </c>
      <c r="T47" s="2"/>
      <c r="U47" s="2"/>
      <c r="V47" s="2"/>
      <c r="W47" s="7">
        <v>1.22</v>
      </c>
      <c r="X47" s="2">
        <v>0</v>
      </c>
      <c r="Y47" s="2">
        <v>0</v>
      </c>
      <c r="Z47" s="2">
        <v>0</v>
      </c>
      <c r="AA47" s="2">
        <v>7.5</v>
      </c>
      <c r="AB47" s="2"/>
      <c r="AC47" s="2"/>
      <c r="AD47" s="2" t="s">
        <v>29</v>
      </c>
    </row>
    <row r="48" spans="1:30" ht="26.25" customHeight="1" x14ac:dyDescent="0.25">
      <c r="A48" s="2" t="s">
        <v>25</v>
      </c>
      <c r="B48" s="2" t="s">
        <v>54</v>
      </c>
      <c r="C48" s="2" t="s">
        <v>57</v>
      </c>
      <c r="D48" s="2">
        <v>140005</v>
      </c>
      <c r="E48" s="2" t="s">
        <v>33</v>
      </c>
      <c r="F48" s="2">
        <v>2025</v>
      </c>
      <c r="G48" s="2">
        <v>23</v>
      </c>
      <c r="H48" s="2">
        <v>61</v>
      </c>
      <c r="I48" s="2">
        <f t="shared" si="0"/>
        <v>151</v>
      </c>
      <c r="J48" s="2">
        <f t="shared" si="1"/>
        <v>349</v>
      </c>
      <c r="K48" s="2">
        <v>0</v>
      </c>
      <c r="L48" s="2">
        <v>0</v>
      </c>
      <c r="M48" s="2">
        <v>24</v>
      </c>
      <c r="N48" s="2">
        <v>125</v>
      </c>
      <c r="O48" s="2">
        <v>0</v>
      </c>
      <c r="P48" s="2">
        <v>2</v>
      </c>
      <c r="Q48" s="2">
        <v>8726</v>
      </c>
      <c r="R48" s="2">
        <v>17500</v>
      </c>
      <c r="S48" s="7">
        <v>0.5</v>
      </c>
      <c r="T48" s="2"/>
      <c r="U48" s="2"/>
      <c r="V48" s="2"/>
      <c r="W48" s="7">
        <v>0.38</v>
      </c>
      <c r="X48" s="2">
        <v>0</v>
      </c>
      <c r="Y48" s="2">
        <v>0</v>
      </c>
      <c r="Z48" s="2">
        <v>0</v>
      </c>
      <c r="AA48" s="2">
        <v>16</v>
      </c>
      <c r="AB48" s="2"/>
      <c r="AC48" s="2"/>
      <c r="AD48" s="2" t="s">
        <v>29</v>
      </c>
    </row>
    <row r="49" spans="1:30" ht="26.25" customHeight="1" x14ac:dyDescent="0.25">
      <c r="A49" s="2" t="s">
        <v>25</v>
      </c>
      <c r="B49" s="2" t="s">
        <v>54</v>
      </c>
      <c r="C49" s="2" t="s">
        <v>58</v>
      </c>
      <c r="D49" s="2">
        <v>140015</v>
      </c>
      <c r="E49" s="2" t="s">
        <v>33</v>
      </c>
      <c r="F49" s="2">
        <v>2025</v>
      </c>
      <c r="G49" s="2">
        <v>23</v>
      </c>
      <c r="H49" s="2">
        <v>33</v>
      </c>
      <c r="I49" s="2">
        <f t="shared" si="0"/>
        <v>137</v>
      </c>
      <c r="J49" s="2">
        <f t="shared" si="1"/>
        <v>209</v>
      </c>
      <c r="K49" s="2">
        <v>0</v>
      </c>
      <c r="L49" s="2">
        <v>1</v>
      </c>
      <c r="M49" s="2">
        <v>28</v>
      </c>
      <c r="N49" s="2">
        <v>191</v>
      </c>
      <c r="O49" s="2">
        <v>1</v>
      </c>
      <c r="P49" s="2">
        <v>3</v>
      </c>
      <c r="Q49" s="2">
        <v>9218</v>
      </c>
      <c r="R49" s="2">
        <v>14000</v>
      </c>
      <c r="S49" s="7">
        <v>0.66</v>
      </c>
      <c r="T49" s="2"/>
      <c r="U49" s="2"/>
      <c r="V49" s="2"/>
      <c r="W49" s="7">
        <v>0.7</v>
      </c>
      <c r="X49" s="2">
        <v>0</v>
      </c>
      <c r="Y49" s="2">
        <v>5.2</v>
      </c>
      <c r="Z49" s="2">
        <v>35.700000000000003</v>
      </c>
      <c r="AA49" s="2">
        <v>15.7</v>
      </c>
      <c r="AB49" s="2"/>
      <c r="AC49" s="2"/>
      <c r="AD49" s="2" t="s">
        <v>29</v>
      </c>
    </row>
    <row r="50" spans="1:30" ht="26.25" customHeight="1" x14ac:dyDescent="0.25">
      <c r="A50" s="2" t="s">
        <v>25</v>
      </c>
      <c r="B50" s="2" t="s">
        <v>54</v>
      </c>
      <c r="C50" s="2" t="s">
        <v>59</v>
      </c>
      <c r="D50" s="2">
        <v>140017</v>
      </c>
      <c r="E50" s="2" t="s">
        <v>33</v>
      </c>
      <c r="F50" s="2">
        <v>2025</v>
      </c>
      <c r="G50" s="2">
        <v>24</v>
      </c>
      <c r="H50" s="2">
        <v>30</v>
      </c>
      <c r="I50" s="2">
        <f t="shared" si="0"/>
        <v>149</v>
      </c>
      <c r="J50" s="2">
        <f t="shared" si="1"/>
        <v>177</v>
      </c>
      <c r="K50" s="2">
        <v>0</v>
      </c>
      <c r="L50" s="2">
        <v>2</v>
      </c>
      <c r="M50" s="2">
        <v>39</v>
      </c>
      <c r="N50" s="2">
        <v>207</v>
      </c>
      <c r="O50" s="2">
        <v>0</v>
      </c>
      <c r="P50" s="2">
        <v>2</v>
      </c>
      <c r="Q50" s="2">
        <v>10693</v>
      </c>
      <c r="R50" s="2">
        <v>25000</v>
      </c>
      <c r="S50" s="7">
        <v>0.43</v>
      </c>
      <c r="T50" s="2"/>
      <c r="U50" s="2"/>
      <c r="V50" s="2"/>
      <c r="W50" s="7">
        <v>0.8</v>
      </c>
      <c r="X50" s="2">
        <v>0</v>
      </c>
      <c r="Y50" s="2">
        <v>9.6999999999999993</v>
      </c>
      <c r="Z50" s="2">
        <v>0</v>
      </c>
      <c r="AA50" s="2">
        <v>9.6999999999999993</v>
      </c>
      <c r="AB50" s="2"/>
      <c r="AC50" s="2"/>
      <c r="AD50" s="2" t="s">
        <v>29</v>
      </c>
    </row>
    <row r="51" spans="1:30" ht="26.25" customHeight="1" x14ac:dyDescent="0.25">
      <c r="A51" s="2" t="s">
        <v>25</v>
      </c>
      <c r="B51" s="2" t="s">
        <v>54</v>
      </c>
      <c r="C51" s="2" t="s">
        <v>60</v>
      </c>
      <c r="D51" s="2">
        <v>140030</v>
      </c>
      <c r="E51" s="2" t="s">
        <v>33</v>
      </c>
      <c r="F51" s="2">
        <v>2025</v>
      </c>
      <c r="G51" s="2">
        <v>18</v>
      </c>
      <c r="H51" s="2">
        <v>21</v>
      </c>
      <c r="I51" s="2">
        <f t="shared" si="0"/>
        <v>147</v>
      </c>
      <c r="J51" s="2">
        <f t="shared" si="1"/>
        <v>153</v>
      </c>
      <c r="K51" s="2">
        <v>1</v>
      </c>
      <c r="L51" s="2">
        <v>1</v>
      </c>
      <c r="M51" s="2">
        <v>20</v>
      </c>
      <c r="N51" s="2">
        <v>140</v>
      </c>
      <c r="O51" s="2">
        <v>3</v>
      </c>
      <c r="P51" s="2">
        <v>5</v>
      </c>
      <c r="Q51" s="2">
        <v>14307</v>
      </c>
      <c r="R51" s="2">
        <v>18000</v>
      </c>
      <c r="S51" s="7">
        <v>0.79</v>
      </c>
      <c r="T51" s="2"/>
      <c r="U51" s="2"/>
      <c r="V51" s="2"/>
      <c r="W51" s="7">
        <v>0.86</v>
      </c>
      <c r="X51" s="2">
        <v>50</v>
      </c>
      <c r="Y51" s="2">
        <v>7.1</v>
      </c>
      <c r="Z51" s="2">
        <v>150</v>
      </c>
      <c r="AA51" s="2">
        <v>35.700000000000003</v>
      </c>
      <c r="AB51" s="2"/>
      <c r="AC51" s="2"/>
      <c r="AD51" s="2" t="s">
        <v>29</v>
      </c>
    </row>
    <row r="52" spans="1:30" ht="26.25" customHeight="1" x14ac:dyDescent="0.25">
      <c r="A52" s="2" t="s">
        <v>25</v>
      </c>
      <c r="B52" s="2" t="s">
        <v>54</v>
      </c>
      <c r="C52" s="2" t="s">
        <v>61</v>
      </c>
      <c r="D52" s="2">
        <v>140040</v>
      </c>
      <c r="E52" s="2" t="s">
        <v>33</v>
      </c>
      <c r="F52" s="2">
        <v>2025</v>
      </c>
      <c r="G52" s="2">
        <v>17</v>
      </c>
      <c r="H52" s="2">
        <v>34</v>
      </c>
      <c r="I52" s="2">
        <f t="shared" si="0"/>
        <v>128</v>
      </c>
      <c r="J52" s="2">
        <f t="shared" si="1"/>
        <v>210</v>
      </c>
      <c r="K52" s="2">
        <v>1</v>
      </c>
      <c r="L52" s="2">
        <v>1</v>
      </c>
      <c r="M52" s="2">
        <v>42</v>
      </c>
      <c r="N52" s="2">
        <v>234</v>
      </c>
      <c r="O52" s="2">
        <v>1</v>
      </c>
      <c r="P52" s="2">
        <v>4</v>
      </c>
      <c r="Q52" s="2">
        <v>8737</v>
      </c>
      <c r="R52" s="2">
        <v>10000</v>
      </c>
      <c r="S52" s="7">
        <v>0.87</v>
      </c>
      <c r="T52" s="2"/>
      <c r="U52" s="2"/>
      <c r="V52" s="2"/>
      <c r="W52" s="7">
        <v>0.5</v>
      </c>
      <c r="X52" s="2">
        <v>23.8</v>
      </c>
      <c r="Y52" s="2">
        <v>4.3</v>
      </c>
      <c r="Z52" s="2">
        <v>23.8</v>
      </c>
      <c r="AA52" s="2">
        <v>17.100000000000001</v>
      </c>
      <c r="AB52" s="2"/>
      <c r="AC52" s="2"/>
      <c r="AD52" s="2" t="s">
        <v>29</v>
      </c>
    </row>
    <row r="53" spans="1:30" ht="26.25" customHeight="1" x14ac:dyDescent="0.25">
      <c r="A53" s="2" t="s">
        <v>25</v>
      </c>
      <c r="B53" s="2" t="s">
        <v>54</v>
      </c>
      <c r="C53" s="2" t="s">
        <v>62</v>
      </c>
      <c r="D53" s="2">
        <v>140045</v>
      </c>
      <c r="E53" s="2" t="s">
        <v>33</v>
      </c>
      <c r="F53" s="2">
        <v>2025</v>
      </c>
      <c r="G53" s="2">
        <v>66</v>
      </c>
      <c r="H53" s="2">
        <v>35</v>
      </c>
      <c r="I53" s="2">
        <f t="shared" si="0"/>
        <v>389</v>
      </c>
      <c r="J53" s="2">
        <f t="shared" si="1"/>
        <v>242</v>
      </c>
      <c r="K53" s="2">
        <v>0</v>
      </c>
      <c r="L53" s="2">
        <v>1</v>
      </c>
      <c r="M53" s="2">
        <v>31</v>
      </c>
      <c r="N53" s="2">
        <v>199</v>
      </c>
      <c r="O53" s="2">
        <v>1</v>
      </c>
      <c r="P53" s="2">
        <v>16</v>
      </c>
      <c r="Q53" s="2">
        <v>12304</v>
      </c>
      <c r="R53" s="2">
        <v>25000</v>
      </c>
      <c r="S53" s="7">
        <v>0.49</v>
      </c>
      <c r="T53" s="2"/>
      <c r="U53" s="2"/>
      <c r="V53" s="2"/>
      <c r="W53" s="7">
        <v>1.89</v>
      </c>
      <c r="X53" s="2">
        <v>0</v>
      </c>
      <c r="Y53" s="2">
        <v>5</v>
      </c>
      <c r="Z53" s="2">
        <v>32.299999999999997</v>
      </c>
      <c r="AA53" s="2">
        <v>80.400000000000006</v>
      </c>
      <c r="AB53" s="2"/>
      <c r="AC53" s="2"/>
      <c r="AD53" s="2" t="s">
        <v>29</v>
      </c>
    </row>
    <row r="54" spans="1:30" ht="26.25" customHeight="1" x14ac:dyDescent="0.25">
      <c r="A54" s="2" t="s">
        <v>25</v>
      </c>
      <c r="B54" s="2" t="s">
        <v>54</v>
      </c>
      <c r="C54" s="2" t="s">
        <v>63</v>
      </c>
      <c r="D54" s="2">
        <v>140070</v>
      </c>
      <c r="E54" s="2" t="s">
        <v>33</v>
      </c>
      <c r="F54" s="2">
        <v>2025</v>
      </c>
      <c r="G54" s="2">
        <v>23</v>
      </c>
      <c r="H54" s="2">
        <v>49</v>
      </c>
      <c r="I54" s="2">
        <f t="shared" si="0"/>
        <v>123</v>
      </c>
      <c r="J54" s="2">
        <f t="shared" si="1"/>
        <v>281</v>
      </c>
      <c r="K54" s="2">
        <v>0</v>
      </c>
      <c r="L54" s="2">
        <v>1</v>
      </c>
      <c r="M54" s="2">
        <v>40</v>
      </c>
      <c r="N54" s="2">
        <v>201</v>
      </c>
      <c r="O54" s="2">
        <v>0</v>
      </c>
      <c r="P54" s="2">
        <v>2</v>
      </c>
      <c r="Q54" s="2">
        <v>8260</v>
      </c>
      <c r="R54" s="2">
        <v>8000</v>
      </c>
      <c r="S54" s="7">
        <v>1.03</v>
      </c>
      <c r="T54" s="2"/>
      <c r="U54" s="2"/>
      <c r="V54" s="2"/>
      <c r="W54" s="7">
        <v>0.47</v>
      </c>
      <c r="X54" s="2">
        <v>0</v>
      </c>
      <c r="Y54" s="2">
        <v>5</v>
      </c>
      <c r="Z54" s="2">
        <v>0</v>
      </c>
      <c r="AA54" s="2">
        <v>10</v>
      </c>
      <c r="AB54" s="2"/>
      <c r="AC54" s="2"/>
      <c r="AD54" s="2" t="s">
        <v>29</v>
      </c>
    </row>
    <row r="55" spans="1:30" ht="26.25" customHeight="1" x14ac:dyDescent="0.25">
      <c r="A55" s="2" t="s">
        <v>25</v>
      </c>
      <c r="B55" s="2" t="s">
        <v>54</v>
      </c>
      <c r="C55" s="2" t="s">
        <v>64</v>
      </c>
      <c r="D55" s="2" t="s">
        <v>65</v>
      </c>
      <c r="E55" s="2" t="s">
        <v>33</v>
      </c>
      <c r="F55" s="2">
        <v>2025</v>
      </c>
      <c r="G55" s="2">
        <v>222</v>
      </c>
      <c r="H55" s="2">
        <v>286</v>
      </c>
      <c r="I55" s="2">
        <f t="shared" si="0"/>
        <v>1368</v>
      </c>
      <c r="J55" s="2">
        <f t="shared" si="1"/>
        <v>1786</v>
      </c>
      <c r="K55" s="2">
        <v>2</v>
      </c>
      <c r="L55" s="2">
        <v>7</v>
      </c>
      <c r="M55" s="2">
        <v>252</v>
      </c>
      <c r="N55" s="2">
        <v>1430</v>
      </c>
      <c r="O55" s="2">
        <v>6</v>
      </c>
      <c r="P55" s="2">
        <v>35</v>
      </c>
      <c r="Q55" s="2">
        <v>76984</v>
      </c>
      <c r="R55" s="2">
        <v>127500</v>
      </c>
      <c r="S55" s="7">
        <v>0.6</v>
      </c>
      <c r="T55" s="2"/>
      <c r="U55" s="2"/>
      <c r="V55" s="2"/>
      <c r="W55" s="7">
        <v>0.78</v>
      </c>
      <c r="X55" s="2">
        <v>7.9</v>
      </c>
      <c r="Y55" s="2">
        <v>4.9000000000000004</v>
      </c>
      <c r="Z55" s="2">
        <v>23.8</v>
      </c>
      <c r="AA55" s="2">
        <v>24.5</v>
      </c>
      <c r="AB55" s="2"/>
      <c r="AC55" s="2"/>
      <c r="AD55" s="2" t="s">
        <v>66</v>
      </c>
    </row>
    <row r="56" spans="1:30" ht="26.25" customHeight="1" x14ac:dyDescent="0.25">
      <c r="A56" s="2" t="s">
        <v>25</v>
      </c>
      <c r="B56" s="2" t="s">
        <v>54</v>
      </c>
      <c r="C56" s="2" t="s">
        <v>55</v>
      </c>
      <c r="D56" s="2">
        <v>140002</v>
      </c>
      <c r="E56" s="2" t="s">
        <v>69</v>
      </c>
      <c r="F56" s="2">
        <v>2025</v>
      </c>
      <c r="G56" s="2">
        <v>31</v>
      </c>
      <c r="H56" s="2">
        <v>41</v>
      </c>
      <c r="I56" s="2">
        <f t="shared" si="0"/>
        <v>175</v>
      </c>
      <c r="J56" s="2">
        <f t="shared" si="1"/>
        <v>206</v>
      </c>
      <c r="K56" s="2">
        <v>0</v>
      </c>
      <c r="L56" s="2">
        <v>0</v>
      </c>
      <c r="M56" s="2">
        <v>19</v>
      </c>
      <c r="N56" s="2">
        <v>152</v>
      </c>
      <c r="O56" s="2">
        <v>1</v>
      </c>
      <c r="P56" s="2">
        <v>2</v>
      </c>
      <c r="Q56" s="2">
        <v>4878</v>
      </c>
      <c r="R56" s="2">
        <v>10000</v>
      </c>
      <c r="S56" s="7">
        <v>0.49</v>
      </c>
      <c r="T56" s="2"/>
      <c r="U56" s="2"/>
      <c r="V56" s="2"/>
      <c r="W56" s="7">
        <v>0.76</v>
      </c>
      <c r="X56" s="2">
        <v>0</v>
      </c>
      <c r="Y56" s="2">
        <v>0</v>
      </c>
      <c r="Z56" s="2">
        <v>52.6</v>
      </c>
      <c r="AA56" s="2">
        <v>13.2</v>
      </c>
      <c r="AB56" s="2"/>
      <c r="AC56" s="2"/>
      <c r="AD56" s="2" t="s">
        <v>29</v>
      </c>
    </row>
    <row r="57" spans="1:30" ht="26.25" customHeight="1" x14ac:dyDescent="0.25">
      <c r="A57" s="2" t="s">
        <v>25</v>
      </c>
      <c r="B57" s="2" t="s">
        <v>54</v>
      </c>
      <c r="C57" s="2" t="s">
        <v>57</v>
      </c>
      <c r="D57" s="2">
        <v>140005</v>
      </c>
      <c r="E57" s="2" t="s">
        <v>69</v>
      </c>
      <c r="F57" s="2">
        <v>2025</v>
      </c>
      <c r="G57" s="2">
        <v>33</v>
      </c>
      <c r="H57" s="2">
        <v>59</v>
      </c>
      <c r="I57" s="2">
        <f t="shared" si="0"/>
        <v>184</v>
      </c>
      <c r="J57" s="2">
        <f t="shared" si="1"/>
        <v>408</v>
      </c>
      <c r="K57" s="2">
        <v>0</v>
      </c>
      <c r="L57" s="2">
        <v>0</v>
      </c>
      <c r="M57" s="2">
        <v>20</v>
      </c>
      <c r="N57" s="2">
        <v>145</v>
      </c>
      <c r="O57" s="2">
        <v>1</v>
      </c>
      <c r="P57" s="2">
        <v>3</v>
      </c>
      <c r="Q57" s="2">
        <v>8801</v>
      </c>
      <c r="R57" s="2">
        <v>17500</v>
      </c>
      <c r="S57" s="7">
        <v>0.5</v>
      </c>
      <c r="T57" s="2"/>
      <c r="U57" s="2"/>
      <c r="V57" s="2"/>
      <c r="W57" s="7">
        <v>0.56000000000000005</v>
      </c>
      <c r="X57" s="2">
        <v>0</v>
      </c>
      <c r="Y57" s="2">
        <v>0</v>
      </c>
      <c r="Z57" s="2">
        <v>50</v>
      </c>
      <c r="AA57" s="2">
        <v>20.7</v>
      </c>
      <c r="AB57" s="2"/>
      <c r="AC57" s="2"/>
      <c r="AD57" s="2" t="s">
        <v>29</v>
      </c>
    </row>
    <row r="58" spans="1:30" ht="26.25" customHeight="1" x14ac:dyDescent="0.25">
      <c r="A58" s="2" t="s">
        <v>25</v>
      </c>
      <c r="B58" s="2" t="s">
        <v>54</v>
      </c>
      <c r="C58" s="2" t="s">
        <v>58</v>
      </c>
      <c r="D58" s="2">
        <v>140015</v>
      </c>
      <c r="E58" s="2" t="s">
        <v>69</v>
      </c>
      <c r="F58" s="2">
        <v>2025</v>
      </c>
      <c r="G58" s="2">
        <v>21</v>
      </c>
      <c r="H58" s="2">
        <v>32</v>
      </c>
      <c r="I58" s="2">
        <f t="shared" si="0"/>
        <v>158</v>
      </c>
      <c r="J58" s="2">
        <f>H58+J49</f>
        <v>241</v>
      </c>
      <c r="K58" s="2">
        <v>0</v>
      </c>
      <c r="L58" s="2">
        <v>1</v>
      </c>
      <c r="M58" s="2">
        <v>34</v>
      </c>
      <c r="N58" s="2">
        <v>225</v>
      </c>
      <c r="O58" s="2">
        <v>1</v>
      </c>
      <c r="P58" s="2">
        <v>4</v>
      </c>
      <c r="Q58" s="2">
        <v>9295</v>
      </c>
      <c r="R58" s="2">
        <v>14000</v>
      </c>
      <c r="S58" s="7">
        <v>0.66</v>
      </c>
      <c r="T58" s="2"/>
      <c r="U58" s="2"/>
      <c r="V58" s="2"/>
      <c r="W58" s="7">
        <v>0.66</v>
      </c>
      <c r="X58" s="2">
        <v>0</v>
      </c>
      <c r="Y58" s="2">
        <v>4.4000000000000004</v>
      </c>
      <c r="Z58" s="2">
        <v>29.4</v>
      </c>
      <c r="AA58" s="2">
        <v>17.8</v>
      </c>
      <c r="AB58" s="2"/>
      <c r="AC58" s="2"/>
      <c r="AD58" s="2" t="s">
        <v>29</v>
      </c>
    </row>
    <row r="59" spans="1:30" ht="26.25" customHeight="1" x14ac:dyDescent="0.25">
      <c r="A59" s="2" t="s">
        <v>25</v>
      </c>
      <c r="B59" s="2" t="s">
        <v>54</v>
      </c>
      <c r="C59" s="2" t="s">
        <v>59</v>
      </c>
      <c r="D59" s="2">
        <v>140017</v>
      </c>
      <c r="E59" s="2" t="s">
        <v>69</v>
      </c>
      <c r="F59" s="2">
        <v>2025</v>
      </c>
      <c r="G59" s="2">
        <v>18</v>
      </c>
      <c r="H59" s="2">
        <v>37</v>
      </c>
      <c r="I59" s="2">
        <f t="shared" si="0"/>
        <v>167</v>
      </c>
      <c r="J59" s="2">
        <f t="shared" si="1"/>
        <v>214</v>
      </c>
      <c r="K59" s="2">
        <v>1</v>
      </c>
      <c r="L59" s="2">
        <v>3</v>
      </c>
      <c r="M59" s="2">
        <v>35</v>
      </c>
      <c r="N59" s="2">
        <v>242</v>
      </c>
      <c r="O59" s="2">
        <v>1</v>
      </c>
      <c r="P59" s="2">
        <v>3</v>
      </c>
      <c r="Q59" s="2">
        <v>10487</v>
      </c>
      <c r="R59" s="2">
        <v>25000</v>
      </c>
      <c r="S59" s="7">
        <v>0.42</v>
      </c>
      <c r="T59" s="2"/>
      <c r="U59" s="2"/>
      <c r="V59" s="2"/>
      <c r="W59" s="7">
        <v>0.49</v>
      </c>
      <c r="X59" s="2">
        <v>28.6</v>
      </c>
      <c r="Y59" s="2">
        <v>12.4</v>
      </c>
      <c r="Z59" s="2">
        <v>28.6</v>
      </c>
      <c r="AA59" s="2">
        <v>12.4</v>
      </c>
      <c r="AB59" s="2"/>
      <c r="AC59" s="2"/>
      <c r="AD59" s="2" t="s">
        <v>29</v>
      </c>
    </row>
    <row r="60" spans="1:30" ht="26.25" customHeight="1" x14ac:dyDescent="0.25">
      <c r="A60" s="2" t="s">
        <v>25</v>
      </c>
      <c r="B60" s="2" t="s">
        <v>54</v>
      </c>
      <c r="C60" s="2" t="s">
        <v>60</v>
      </c>
      <c r="D60" s="2">
        <v>140030</v>
      </c>
      <c r="E60" s="2" t="s">
        <v>69</v>
      </c>
      <c r="F60" s="2">
        <v>2025</v>
      </c>
      <c r="G60" s="2">
        <v>26</v>
      </c>
      <c r="H60" s="2">
        <v>30</v>
      </c>
      <c r="I60" s="2">
        <f t="shared" si="0"/>
        <v>173</v>
      </c>
      <c r="J60" s="2">
        <f t="shared" si="1"/>
        <v>183</v>
      </c>
      <c r="K60" s="2">
        <v>1</v>
      </c>
      <c r="L60" s="2">
        <v>2</v>
      </c>
      <c r="M60" s="2">
        <v>28</v>
      </c>
      <c r="N60" s="2">
        <v>168</v>
      </c>
      <c r="O60" s="2">
        <v>1</v>
      </c>
      <c r="P60" s="2">
        <v>6</v>
      </c>
      <c r="Q60" s="2">
        <v>14369</v>
      </c>
      <c r="R60" s="2">
        <v>18000</v>
      </c>
      <c r="S60" s="7">
        <v>0.8</v>
      </c>
      <c r="T60" s="2"/>
      <c r="U60" s="2"/>
      <c r="V60" s="2"/>
      <c r="W60" s="7">
        <v>0.87</v>
      </c>
      <c r="X60" s="2">
        <v>35.700000000000003</v>
      </c>
      <c r="Y60" s="2">
        <v>11.9</v>
      </c>
      <c r="Z60" s="2">
        <v>35.700000000000003</v>
      </c>
      <c r="AA60" s="2">
        <v>35.700000000000003</v>
      </c>
      <c r="AB60" s="2"/>
      <c r="AC60" s="2"/>
      <c r="AD60" s="2" t="s">
        <v>29</v>
      </c>
    </row>
    <row r="61" spans="1:30" ht="26.25" customHeight="1" x14ac:dyDescent="0.25">
      <c r="A61" s="2" t="s">
        <v>25</v>
      </c>
      <c r="B61" s="2" t="s">
        <v>54</v>
      </c>
      <c r="C61" s="2" t="s">
        <v>61</v>
      </c>
      <c r="D61" s="2">
        <v>140040</v>
      </c>
      <c r="E61" s="2" t="s">
        <v>69</v>
      </c>
      <c r="F61" s="2">
        <v>2025</v>
      </c>
      <c r="G61" s="2">
        <v>33</v>
      </c>
      <c r="H61" s="2">
        <v>33</v>
      </c>
      <c r="I61" s="2">
        <f t="shared" si="0"/>
        <v>161</v>
      </c>
      <c r="J61" s="2">
        <f t="shared" si="1"/>
        <v>243</v>
      </c>
      <c r="K61" s="2">
        <v>0</v>
      </c>
      <c r="L61" s="2">
        <v>1</v>
      </c>
      <c r="M61" s="2">
        <v>32</v>
      </c>
      <c r="N61" s="2">
        <v>266</v>
      </c>
      <c r="O61" s="2">
        <v>0</v>
      </c>
      <c r="P61" s="2">
        <v>4</v>
      </c>
      <c r="Q61" s="2">
        <v>8626</v>
      </c>
      <c r="R61" s="2">
        <v>10000</v>
      </c>
      <c r="S61" s="7">
        <v>0.86</v>
      </c>
      <c r="T61" s="2"/>
      <c r="U61" s="2"/>
      <c r="V61" s="2"/>
      <c r="W61" s="7">
        <v>1</v>
      </c>
      <c r="X61" s="2">
        <v>0</v>
      </c>
      <c r="Y61" s="2">
        <v>3.8</v>
      </c>
      <c r="Z61" s="2">
        <v>0</v>
      </c>
      <c r="AA61" s="2">
        <v>15</v>
      </c>
      <c r="AB61" s="2"/>
      <c r="AC61" s="2"/>
      <c r="AD61" s="2" t="s">
        <v>29</v>
      </c>
    </row>
    <row r="62" spans="1:30" ht="26.25" customHeight="1" x14ac:dyDescent="0.25">
      <c r="A62" s="2" t="s">
        <v>25</v>
      </c>
      <c r="B62" s="2" t="s">
        <v>54</v>
      </c>
      <c r="C62" s="2" t="s">
        <v>62</v>
      </c>
      <c r="D62" s="2">
        <v>140045</v>
      </c>
      <c r="E62" s="2" t="s">
        <v>69</v>
      </c>
      <c r="F62" s="2">
        <v>2025</v>
      </c>
      <c r="G62" s="2">
        <v>75</v>
      </c>
      <c r="H62" s="2">
        <v>36</v>
      </c>
      <c r="I62" s="2">
        <f t="shared" si="0"/>
        <v>464</v>
      </c>
      <c r="J62" s="2">
        <f t="shared" si="1"/>
        <v>278</v>
      </c>
      <c r="K62" s="2">
        <v>2</v>
      </c>
      <c r="L62" s="2">
        <v>3</v>
      </c>
      <c r="M62" s="2">
        <v>29</v>
      </c>
      <c r="N62" s="2">
        <v>228</v>
      </c>
      <c r="O62" s="2">
        <v>3</v>
      </c>
      <c r="P62" s="2">
        <v>19</v>
      </c>
      <c r="Q62" s="2">
        <v>12183</v>
      </c>
      <c r="R62" s="2">
        <v>25000</v>
      </c>
      <c r="S62" s="7">
        <v>0.49</v>
      </c>
      <c r="T62" s="2"/>
      <c r="U62" s="2"/>
      <c r="V62" s="2"/>
      <c r="W62" s="7">
        <v>2.08</v>
      </c>
      <c r="X62" s="2">
        <v>69</v>
      </c>
      <c r="Y62" s="2">
        <v>13.2</v>
      </c>
      <c r="Z62" s="2">
        <v>103.4</v>
      </c>
      <c r="AA62" s="2">
        <v>83.3</v>
      </c>
      <c r="AB62" s="2"/>
      <c r="AC62" s="2"/>
      <c r="AD62" s="2" t="s">
        <v>29</v>
      </c>
    </row>
    <row r="63" spans="1:30" ht="26.25" customHeight="1" x14ac:dyDescent="0.25">
      <c r="A63" s="2" t="s">
        <v>25</v>
      </c>
      <c r="B63" s="2" t="s">
        <v>54</v>
      </c>
      <c r="C63" s="2" t="s">
        <v>63</v>
      </c>
      <c r="D63" s="2">
        <v>140070</v>
      </c>
      <c r="E63" s="2" t="s">
        <v>69</v>
      </c>
      <c r="F63" s="2">
        <v>2025</v>
      </c>
      <c r="G63" s="2">
        <v>12</v>
      </c>
      <c r="H63" s="2">
        <v>55</v>
      </c>
      <c r="I63" s="2">
        <f t="shared" si="0"/>
        <v>135</v>
      </c>
      <c r="J63" s="2">
        <f t="shared" si="1"/>
        <v>336</v>
      </c>
      <c r="K63" s="2">
        <v>0</v>
      </c>
      <c r="L63" s="2">
        <v>1</v>
      </c>
      <c r="M63" s="2">
        <v>34</v>
      </c>
      <c r="N63" s="2">
        <v>235</v>
      </c>
      <c r="O63" s="2">
        <v>1</v>
      </c>
      <c r="P63" s="2">
        <v>3</v>
      </c>
      <c r="Q63" s="2">
        <v>7821</v>
      </c>
      <c r="R63" s="2">
        <v>8000</v>
      </c>
      <c r="S63" s="7">
        <v>0.98</v>
      </c>
      <c r="T63" s="2"/>
      <c r="U63" s="2"/>
      <c r="V63" s="2"/>
      <c r="W63" s="7">
        <v>0.22</v>
      </c>
      <c r="X63" s="2">
        <v>0</v>
      </c>
      <c r="Y63" s="2">
        <v>4.3</v>
      </c>
      <c r="Z63" s="2">
        <v>29.4</v>
      </c>
      <c r="AA63" s="2">
        <v>12.8</v>
      </c>
      <c r="AB63" s="2"/>
      <c r="AC63" s="2"/>
      <c r="AD63" s="2" t="s">
        <v>29</v>
      </c>
    </row>
    <row r="64" spans="1:30" ht="26.25" customHeight="1" x14ac:dyDescent="0.25">
      <c r="A64" s="2" t="s">
        <v>25</v>
      </c>
      <c r="B64" s="2" t="s">
        <v>54</v>
      </c>
      <c r="C64" s="2" t="s">
        <v>64</v>
      </c>
      <c r="D64" s="2" t="s">
        <v>65</v>
      </c>
      <c r="E64" s="2" t="s">
        <v>69</v>
      </c>
      <c r="F64" s="2">
        <v>2025</v>
      </c>
      <c r="G64" s="2">
        <v>249</v>
      </c>
      <c r="H64" s="2">
        <v>323</v>
      </c>
      <c r="I64" s="2">
        <f t="shared" si="0"/>
        <v>1617</v>
      </c>
      <c r="J64" s="2">
        <f t="shared" si="1"/>
        <v>2109</v>
      </c>
      <c r="K64" s="2">
        <v>4</v>
      </c>
      <c r="L64" s="2">
        <v>11</v>
      </c>
      <c r="M64" s="2">
        <v>231</v>
      </c>
      <c r="N64" s="2">
        <v>1661</v>
      </c>
      <c r="O64" s="2">
        <v>9</v>
      </c>
      <c r="P64" s="2">
        <v>44</v>
      </c>
      <c r="Q64" s="2">
        <v>76460</v>
      </c>
      <c r="R64" s="2">
        <v>127500</v>
      </c>
      <c r="S64" s="7">
        <v>0.6</v>
      </c>
      <c r="T64" s="2"/>
      <c r="U64" s="2"/>
      <c r="V64" s="2"/>
      <c r="W64" s="7">
        <v>0.77</v>
      </c>
      <c r="X64" s="2">
        <v>17.3</v>
      </c>
      <c r="Y64" s="2">
        <v>6.6</v>
      </c>
      <c r="Z64" s="2">
        <v>39</v>
      </c>
      <c r="AA64" s="2">
        <v>26.5</v>
      </c>
      <c r="AB64" s="2"/>
      <c r="AC64" s="2"/>
      <c r="AD64" s="2" t="s">
        <v>66</v>
      </c>
    </row>
    <row r="65" spans="1:30" ht="26.25" customHeight="1" x14ac:dyDescent="0.25">
      <c r="A65" s="2" t="s">
        <v>25</v>
      </c>
      <c r="B65" s="2" t="s">
        <v>54</v>
      </c>
      <c r="C65" s="2" t="s">
        <v>55</v>
      </c>
      <c r="D65" s="2">
        <v>140002</v>
      </c>
      <c r="E65" s="2" t="s">
        <v>70</v>
      </c>
      <c r="F65" s="2">
        <v>2025</v>
      </c>
      <c r="G65" s="2">
        <v>28</v>
      </c>
      <c r="H65" s="2">
        <v>50</v>
      </c>
      <c r="I65" s="2">
        <f t="shared" si="0"/>
        <v>203</v>
      </c>
      <c r="J65" s="2">
        <f t="shared" si="1"/>
        <v>256</v>
      </c>
      <c r="K65" s="2">
        <v>0</v>
      </c>
      <c r="L65" s="2">
        <v>0</v>
      </c>
      <c r="M65" s="2">
        <v>20</v>
      </c>
      <c r="N65" s="2">
        <v>172</v>
      </c>
      <c r="O65" s="2">
        <v>0</v>
      </c>
      <c r="P65" s="2">
        <v>2</v>
      </c>
      <c r="Q65" s="2">
        <v>4858</v>
      </c>
      <c r="R65" s="2">
        <v>10000</v>
      </c>
      <c r="S65" s="7">
        <v>0.49</v>
      </c>
      <c r="T65" s="2"/>
      <c r="U65" s="2"/>
      <c r="V65" s="2"/>
      <c r="W65" s="7">
        <v>0.56000000000000005</v>
      </c>
      <c r="X65" s="2">
        <v>0</v>
      </c>
      <c r="Y65" s="2">
        <v>0</v>
      </c>
      <c r="Z65" s="2">
        <v>0</v>
      </c>
      <c r="AA65" s="2">
        <v>11.6</v>
      </c>
      <c r="AB65" s="2"/>
      <c r="AC65" s="2"/>
      <c r="AD65" s="2" t="s">
        <v>29</v>
      </c>
    </row>
    <row r="66" spans="1:30" ht="26.25" customHeight="1" x14ac:dyDescent="0.25">
      <c r="A66" s="2" t="s">
        <v>25</v>
      </c>
      <c r="B66" s="2" t="s">
        <v>54</v>
      </c>
      <c r="C66" s="2" t="s">
        <v>57</v>
      </c>
      <c r="D66" s="2">
        <v>140005</v>
      </c>
      <c r="E66" s="2" t="s">
        <v>70</v>
      </c>
      <c r="F66" s="2">
        <v>2025</v>
      </c>
      <c r="G66" s="2">
        <v>27</v>
      </c>
      <c r="H66" s="2">
        <v>34</v>
      </c>
      <c r="I66" s="2">
        <f t="shared" si="0"/>
        <v>211</v>
      </c>
      <c r="J66" s="2">
        <f t="shared" si="1"/>
        <v>442</v>
      </c>
      <c r="K66" s="2">
        <v>0</v>
      </c>
      <c r="L66" s="2">
        <v>0</v>
      </c>
      <c r="M66" s="2">
        <v>17</v>
      </c>
      <c r="N66" s="2">
        <v>162</v>
      </c>
      <c r="O66" s="2">
        <v>1</v>
      </c>
      <c r="P66" s="2">
        <v>4</v>
      </c>
      <c r="Q66" s="2">
        <v>8860</v>
      </c>
      <c r="R66" s="2">
        <v>17500</v>
      </c>
      <c r="S66" s="7">
        <v>0.51</v>
      </c>
      <c r="T66" s="2"/>
      <c r="U66" s="2"/>
      <c r="V66" s="2"/>
      <c r="W66" s="7">
        <v>0.79</v>
      </c>
      <c r="X66" s="2">
        <v>0</v>
      </c>
      <c r="Y66" s="2">
        <v>0</v>
      </c>
      <c r="Z66" s="2">
        <v>58.8</v>
      </c>
      <c r="AA66" s="2">
        <v>24.7</v>
      </c>
      <c r="AB66" s="2"/>
      <c r="AC66" s="2"/>
      <c r="AD66" s="2" t="s">
        <v>29</v>
      </c>
    </row>
    <row r="67" spans="1:30" ht="26.25" customHeight="1" x14ac:dyDescent="0.25">
      <c r="A67" s="2" t="s">
        <v>25</v>
      </c>
      <c r="B67" s="2" t="s">
        <v>54</v>
      </c>
      <c r="C67" s="2" t="s">
        <v>58</v>
      </c>
      <c r="D67" s="2">
        <v>140015</v>
      </c>
      <c r="E67" s="2" t="s">
        <v>70</v>
      </c>
      <c r="F67" s="2">
        <v>2025</v>
      </c>
      <c r="G67" s="2">
        <v>19</v>
      </c>
      <c r="H67" s="2">
        <v>32</v>
      </c>
      <c r="I67" s="2">
        <f t="shared" si="0"/>
        <v>177</v>
      </c>
      <c r="J67" s="2">
        <f t="shared" si="1"/>
        <v>273</v>
      </c>
      <c r="K67" s="2">
        <v>0</v>
      </c>
      <c r="L67" s="2">
        <v>1</v>
      </c>
      <c r="M67" s="2">
        <v>30</v>
      </c>
      <c r="N67" s="2">
        <v>255</v>
      </c>
      <c r="O67" s="2">
        <v>0</v>
      </c>
      <c r="P67" s="2">
        <v>4</v>
      </c>
      <c r="Q67" s="2">
        <v>9342</v>
      </c>
      <c r="R67" s="2">
        <v>14000</v>
      </c>
      <c r="S67" s="7">
        <v>0.67</v>
      </c>
      <c r="T67" s="2"/>
      <c r="U67" s="2"/>
      <c r="V67" s="2"/>
      <c r="W67" s="7">
        <v>0.59</v>
      </c>
      <c r="X67" s="2">
        <v>0</v>
      </c>
      <c r="Y67" s="2">
        <v>3.9</v>
      </c>
      <c r="Z67" s="2">
        <v>0</v>
      </c>
      <c r="AA67" s="2">
        <v>15.7</v>
      </c>
      <c r="AB67" s="2"/>
      <c r="AC67" s="2"/>
      <c r="AD67" s="2" t="s">
        <v>29</v>
      </c>
    </row>
    <row r="68" spans="1:30" ht="26.25" customHeight="1" x14ac:dyDescent="0.25">
      <c r="A68" s="2" t="s">
        <v>25</v>
      </c>
      <c r="B68" s="2" t="s">
        <v>54</v>
      </c>
      <c r="C68" s="2" t="s">
        <v>59</v>
      </c>
      <c r="D68" s="2">
        <v>140017</v>
      </c>
      <c r="E68" s="2" t="s">
        <v>70</v>
      </c>
      <c r="F68" s="2">
        <v>2025</v>
      </c>
      <c r="G68" s="2">
        <v>15</v>
      </c>
      <c r="H68" s="2">
        <v>33</v>
      </c>
      <c r="I68" s="2">
        <f t="shared" si="0"/>
        <v>182</v>
      </c>
      <c r="J68" s="2">
        <f t="shared" si="1"/>
        <v>247</v>
      </c>
      <c r="K68" s="2">
        <v>0</v>
      </c>
      <c r="L68" s="2">
        <v>3</v>
      </c>
      <c r="M68" s="2">
        <v>21</v>
      </c>
      <c r="N68" s="2">
        <v>263</v>
      </c>
      <c r="O68" s="2">
        <v>0</v>
      </c>
      <c r="P68" s="2">
        <v>3</v>
      </c>
      <c r="Q68" s="2">
        <v>10616</v>
      </c>
      <c r="R68" s="2">
        <v>25000</v>
      </c>
      <c r="S68" s="7">
        <v>0.42</v>
      </c>
      <c r="T68" s="2"/>
      <c r="U68" s="2"/>
      <c r="V68" s="2"/>
      <c r="W68" s="7">
        <v>0.45</v>
      </c>
      <c r="X68" s="2">
        <v>0</v>
      </c>
      <c r="Y68" s="2">
        <v>11.4</v>
      </c>
      <c r="Z68" s="2">
        <v>0</v>
      </c>
      <c r="AA68" s="2">
        <v>11.4</v>
      </c>
      <c r="AB68" s="2"/>
      <c r="AC68" s="2"/>
      <c r="AD68" s="2" t="s">
        <v>29</v>
      </c>
    </row>
    <row r="69" spans="1:30" ht="26.25" customHeight="1" x14ac:dyDescent="0.25">
      <c r="A69" s="2" t="s">
        <v>25</v>
      </c>
      <c r="B69" s="2" t="s">
        <v>54</v>
      </c>
      <c r="C69" s="2" t="s">
        <v>60</v>
      </c>
      <c r="D69" s="2">
        <v>140030</v>
      </c>
      <c r="E69" s="2" t="s">
        <v>70</v>
      </c>
      <c r="F69" s="2">
        <v>2025</v>
      </c>
      <c r="G69" s="2">
        <v>26</v>
      </c>
      <c r="H69" s="2">
        <v>34</v>
      </c>
      <c r="I69" s="2">
        <f t="shared" si="0"/>
        <v>199</v>
      </c>
      <c r="J69" s="2">
        <f t="shared" si="1"/>
        <v>217</v>
      </c>
      <c r="K69" s="2">
        <v>0</v>
      </c>
      <c r="L69" s="2">
        <v>2</v>
      </c>
      <c r="M69" s="2">
        <v>23</v>
      </c>
      <c r="N69" s="2">
        <v>191</v>
      </c>
      <c r="O69" s="2">
        <v>0</v>
      </c>
      <c r="P69" s="2">
        <v>6</v>
      </c>
      <c r="Q69" s="2">
        <v>14514</v>
      </c>
      <c r="R69" s="2">
        <v>18000</v>
      </c>
      <c r="S69" s="7">
        <v>0.81</v>
      </c>
      <c r="T69" s="2"/>
      <c r="U69" s="2"/>
      <c r="V69" s="2"/>
      <c r="W69" s="7">
        <v>0.76</v>
      </c>
      <c r="X69" s="2">
        <v>0</v>
      </c>
      <c r="Y69" s="2">
        <v>10.5</v>
      </c>
      <c r="Z69" s="2">
        <v>0</v>
      </c>
      <c r="AA69" s="2">
        <v>31.4</v>
      </c>
      <c r="AB69" s="2"/>
      <c r="AC69" s="2"/>
      <c r="AD69" s="2" t="s">
        <v>29</v>
      </c>
    </row>
    <row r="70" spans="1:30" ht="26.25" customHeight="1" x14ac:dyDescent="0.25">
      <c r="A70" s="2" t="s">
        <v>25</v>
      </c>
      <c r="B70" s="2" t="s">
        <v>54</v>
      </c>
      <c r="C70" s="2" t="s">
        <v>61</v>
      </c>
      <c r="D70" s="2">
        <v>140040</v>
      </c>
      <c r="E70" s="2" t="s">
        <v>70</v>
      </c>
      <c r="F70" s="2">
        <v>2025</v>
      </c>
      <c r="G70" s="2">
        <v>15</v>
      </c>
      <c r="H70" s="2">
        <v>39</v>
      </c>
      <c r="I70" s="2">
        <f t="shared" si="0"/>
        <v>176</v>
      </c>
      <c r="J70" s="2">
        <f t="shared" si="1"/>
        <v>282</v>
      </c>
      <c r="K70" s="2">
        <v>0</v>
      </c>
      <c r="L70" s="2">
        <v>1</v>
      </c>
      <c r="M70" s="2">
        <v>54</v>
      </c>
      <c r="N70" s="2">
        <v>320</v>
      </c>
      <c r="O70" s="2">
        <v>0</v>
      </c>
      <c r="P70" s="2">
        <v>4</v>
      </c>
      <c r="Q70" s="2">
        <v>8889</v>
      </c>
      <c r="R70" s="2">
        <v>10000</v>
      </c>
      <c r="S70" s="7">
        <v>0.89</v>
      </c>
      <c r="T70" s="2"/>
      <c r="U70" s="2"/>
      <c r="V70" s="2"/>
      <c r="W70" s="7">
        <v>0.38</v>
      </c>
      <c r="X70" s="2">
        <v>0</v>
      </c>
      <c r="Y70" s="2">
        <v>3.1</v>
      </c>
      <c r="Z70" s="2">
        <v>0</v>
      </c>
      <c r="AA70" s="2">
        <v>12.5</v>
      </c>
      <c r="AB70" s="2"/>
      <c r="AC70" s="2"/>
      <c r="AD70" s="2" t="s">
        <v>29</v>
      </c>
    </row>
    <row r="71" spans="1:30" ht="26.25" customHeight="1" x14ac:dyDescent="0.25">
      <c r="A71" s="2" t="s">
        <v>25</v>
      </c>
      <c r="B71" s="2" t="s">
        <v>54</v>
      </c>
      <c r="C71" s="2" t="s">
        <v>62</v>
      </c>
      <c r="D71" s="2">
        <v>140045</v>
      </c>
      <c r="E71" s="2" t="s">
        <v>70</v>
      </c>
      <c r="F71" s="2">
        <v>2025</v>
      </c>
      <c r="G71" s="2">
        <v>66</v>
      </c>
      <c r="H71" s="2">
        <v>37</v>
      </c>
      <c r="I71" s="2">
        <f t="shared" si="0"/>
        <v>530</v>
      </c>
      <c r="J71" s="2">
        <f t="shared" si="1"/>
        <v>315</v>
      </c>
      <c r="K71" s="2">
        <v>0</v>
      </c>
      <c r="L71" s="2">
        <v>3</v>
      </c>
      <c r="M71" s="2">
        <v>41</v>
      </c>
      <c r="N71" s="2">
        <v>269</v>
      </c>
      <c r="O71" s="2">
        <v>0</v>
      </c>
      <c r="P71" s="2">
        <v>19</v>
      </c>
      <c r="Q71" s="2">
        <v>12426</v>
      </c>
      <c r="R71" s="2">
        <v>25000</v>
      </c>
      <c r="S71" s="7">
        <v>0.5</v>
      </c>
      <c r="T71" s="2"/>
      <c r="U71" s="2"/>
      <c r="V71" s="2"/>
      <c r="W71" s="7">
        <v>1.78</v>
      </c>
      <c r="X71" s="2">
        <v>0</v>
      </c>
      <c r="Y71" s="2">
        <v>11.2</v>
      </c>
      <c r="Z71" s="2">
        <v>0</v>
      </c>
      <c r="AA71" s="2">
        <v>70.599999999999994</v>
      </c>
      <c r="AB71" s="2"/>
      <c r="AC71" s="2"/>
      <c r="AD71" s="2" t="s">
        <v>29</v>
      </c>
    </row>
    <row r="72" spans="1:30" ht="26.25" customHeight="1" x14ac:dyDescent="0.25">
      <c r="A72" s="2" t="s">
        <v>25</v>
      </c>
      <c r="B72" s="2" t="s">
        <v>54</v>
      </c>
      <c r="C72" s="2" t="s">
        <v>63</v>
      </c>
      <c r="D72" s="2">
        <v>140070</v>
      </c>
      <c r="E72" s="2" t="s">
        <v>70</v>
      </c>
      <c r="F72" s="2">
        <v>2025</v>
      </c>
      <c r="G72" s="2">
        <v>10</v>
      </c>
      <c r="H72" s="2">
        <v>59</v>
      </c>
      <c r="I72" s="2">
        <f t="shared" si="0"/>
        <v>145</v>
      </c>
      <c r="J72" s="2">
        <f t="shared" si="1"/>
        <v>395</v>
      </c>
      <c r="K72" s="2">
        <v>0</v>
      </c>
      <c r="L72" s="2">
        <v>1</v>
      </c>
      <c r="M72" s="2">
        <v>30</v>
      </c>
      <c r="N72" s="2">
        <v>265</v>
      </c>
      <c r="O72" s="2">
        <v>0</v>
      </c>
      <c r="P72" s="2">
        <v>3</v>
      </c>
      <c r="Q72" s="2">
        <v>9144</v>
      </c>
      <c r="R72" s="2">
        <v>10000</v>
      </c>
      <c r="S72" s="7">
        <v>0.91</v>
      </c>
      <c r="T72" s="2"/>
      <c r="U72" s="2"/>
      <c r="V72" s="2"/>
      <c r="W72" s="7">
        <v>0.17</v>
      </c>
      <c r="X72" s="2">
        <v>0</v>
      </c>
      <c r="Y72" s="2">
        <v>3.8</v>
      </c>
      <c r="Z72" s="2">
        <v>0</v>
      </c>
      <c r="AA72" s="2">
        <v>11.3</v>
      </c>
      <c r="AB72" s="2"/>
      <c r="AC72" s="2"/>
      <c r="AD72" s="2" t="s">
        <v>29</v>
      </c>
    </row>
    <row r="73" spans="1:30" ht="26.25" customHeight="1" x14ac:dyDescent="0.25">
      <c r="A73" s="2" t="s">
        <v>25</v>
      </c>
      <c r="B73" s="2" t="s">
        <v>54</v>
      </c>
      <c r="C73" s="2" t="s">
        <v>64</v>
      </c>
      <c r="D73" s="2" t="s">
        <v>65</v>
      </c>
      <c r="E73" s="2" t="s">
        <v>70</v>
      </c>
      <c r="F73" s="2">
        <v>2025</v>
      </c>
      <c r="G73" s="2">
        <v>206</v>
      </c>
      <c r="H73" s="2">
        <v>318</v>
      </c>
      <c r="I73" s="2">
        <f t="shared" si="0"/>
        <v>1823</v>
      </c>
      <c r="J73" s="2">
        <f t="shared" si="1"/>
        <v>2427</v>
      </c>
      <c r="K73" s="2">
        <v>0</v>
      </c>
      <c r="L73" s="2">
        <v>11</v>
      </c>
      <c r="M73" s="2">
        <v>236</v>
      </c>
      <c r="N73" s="2">
        <v>1897</v>
      </c>
      <c r="O73" s="2">
        <v>1</v>
      </c>
      <c r="P73" s="2">
        <v>45</v>
      </c>
      <c r="Q73" s="2">
        <v>78649</v>
      </c>
      <c r="R73" s="2">
        <v>129500</v>
      </c>
      <c r="S73" s="7">
        <v>0.61</v>
      </c>
      <c r="T73" s="2"/>
      <c r="U73" s="2"/>
      <c r="V73" s="2"/>
      <c r="W73" s="7">
        <v>0.65</v>
      </c>
      <c r="X73" s="2">
        <v>0</v>
      </c>
      <c r="Y73" s="2">
        <v>5.8</v>
      </c>
      <c r="Z73" s="2">
        <v>4.2</v>
      </c>
      <c r="AA73" s="2">
        <v>23.7</v>
      </c>
      <c r="AB73" s="2"/>
      <c r="AC73" s="2"/>
      <c r="AD73" s="2" t="s">
        <v>66</v>
      </c>
    </row>
    <row r="74" spans="1:30" ht="26.25" customHeight="1" x14ac:dyDescent="0.25">
      <c r="A74" s="2" t="s">
        <v>25</v>
      </c>
      <c r="B74" s="2" t="s">
        <v>54</v>
      </c>
      <c r="C74" s="2" t="s">
        <v>55</v>
      </c>
      <c r="D74" s="2">
        <v>140002</v>
      </c>
      <c r="E74" s="2" t="s">
        <v>36</v>
      </c>
      <c r="F74" s="2">
        <v>2025</v>
      </c>
      <c r="G74" s="2">
        <v>15</v>
      </c>
      <c r="H74" s="2">
        <v>39</v>
      </c>
      <c r="I74" s="2">
        <f t="shared" si="0"/>
        <v>218</v>
      </c>
      <c r="J74" s="2">
        <f t="shared" si="1"/>
        <v>295</v>
      </c>
      <c r="K74" s="2">
        <v>1</v>
      </c>
      <c r="L74" s="2">
        <v>1</v>
      </c>
      <c r="M74" s="2">
        <v>20</v>
      </c>
      <c r="N74" s="2">
        <v>192</v>
      </c>
      <c r="O74" s="2">
        <v>0</v>
      </c>
      <c r="P74" s="2">
        <v>2</v>
      </c>
      <c r="Q74" s="2">
        <v>5992</v>
      </c>
      <c r="R74" s="2">
        <v>10000</v>
      </c>
      <c r="S74" s="7">
        <v>0.6</v>
      </c>
      <c r="T74" s="2"/>
      <c r="U74" s="2"/>
      <c r="V74" s="2"/>
      <c r="W74" s="7">
        <v>0.38</v>
      </c>
      <c r="X74" s="2">
        <v>50</v>
      </c>
      <c r="Y74" s="2">
        <v>5.2</v>
      </c>
      <c r="Z74" s="2">
        <v>0</v>
      </c>
      <c r="AA74" s="2">
        <v>10.4</v>
      </c>
      <c r="AB74" s="2"/>
      <c r="AC74" s="2"/>
      <c r="AD74" s="2" t="s">
        <v>29</v>
      </c>
    </row>
    <row r="75" spans="1:30" ht="26.25" customHeight="1" x14ac:dyDescent="0.25">
      <c r="A75" s="2" t="s">
        <v>25</v>
      </c>
      <c r="B75" s="2" t="s">
        <v>54</v>
      </c>
      <c r="C75" s="2" t="s">
        <v>57</v>
      </c>
      <c r="D75" s="2">
        <v>140005</v>
      </c>
      <c r="E75" s="2" t="s">
        <v>36</v>
      </c>
      <c r="F75" s="2">
        <v>2025</v>
      </c>
      <c r="G75" s="2">
        <v>23</v>
      </c>
      <c r="H75" s="2">
        <v>63</v>
      </c>
      <c r="I75" s="2">
        <f t="shared" si="0"/>
        <v>234</v>
      </c>
      <c r="J75" s="2">
        <f t="shared" si="1"/>
        <v>505</v>
      </c>
      <c r="K75" s="2">
        <v>0</v>
      </c>
      <c r="L75" s="2">
        <v>0</v>
      </c>
      <c r="M75" s="2">
        <v>19</v>
      </c>
      <c r="N75" s="2">
        <v>181</v>
      </c>
      <c r="O75" s="2">
        <v>1</v>
      </c>
      <c r="P75" s="2">
        <v>5</v>
      </c>
      <c r="Q75" s="2">
        <v>8887</v>
      </c>
      <c r="R75" s="2">
        <v>17500</v>
      </c>
      <c r="S75" s="7">
        <v>0.51</v>
      </c>
      <c r="T75" s="2"/>
      <c r="U75" s="2"/>
      <c r="V75" s="2"/>
      <c r="W75" s="7">
        <v>0.37</v>
      </c>
      <c r="X75" s="2">
        <v>0</v>
      </c>
      <c r="Y75" s="2">
        <v>0</v>
      </c>
      <c r="Z75" s="2">
        <v>52.6</v>
      </c>
      <c r="AA75" s="2">
        <v>27.6</v>
      </c>
      <c r="AB75" s="2"/>
      <c r="AC75" s="2"/>
      <c r="AD75" s="2" t="s">
        <v>29</v>
      </c>
    </row>
    <row r="76" spans="1:30" ht="26.25" customHeight="1" x14ac:dyDescent="0.25">
      <c r="A76" s="2" t="s">
        <v>25</v>
      </c>
      <c r="B76" s="2" t="s">
        <v>54</v>
      </c>
      <c r="C76" s="2" t="s">
        <v>58</v>
      </c>
      <c r="D76" s="2">
        <v>140015</v>
      </c>
      <c r="E76" s="2" t="s">
        <v>36</v>
      </c>
      <c r="F76" s="2">
        <v>2025</v>
      </c>
      <c r="G76" s="2">
        <v>16</v>
      </c>
      <c r="H76" s="2">
        <v>31</v>
      </c>
      <c r="I76" s="2">
        <f t="shared" ref="I76:I109" si="2">G76+I67</f>
        <v>193</v>
      </c>
      <c r="J76" s="2">
        <f t="shared" ref="J76:J109" si="3">H76+J67</f>
        <v>304</v>
      </c>
      <c r="K76" s="2">
        <v>0</v>
      </c>
      <c r="L76" s="2">
        <v>1</v>
      </c>
      <c r="M76" s="2">
        <v>39</v>
      </c>
      <c r="N76" s="2">
        <v>294</v>
      </c>
      <c r="O76" s="2">
        <v>1</v>
      </c>
      <c r="P76" s="2">
        <v>5</v>
      </c>
      <c r="Q76" s="2">
        <v>9504</v>
      </c>
      <c r="R76" s="2">
        <v>14000</v>
      </c>
      <c r="S76" s="7">
        <v>0.68</v>
      </c>
      <c r="T76" s="2"/>
      <c r="U76" s="2"/>
      <c r="V76" s="2"/>
      <c r="W76" s="7">
        <v>0.52</v>
      </c>
      <c r="X76" s="2">
        <v>0</v>
      </c>
      <c r="Y76" s="2">
        <v>3.4</v>
      </c>
      <c r="Z76" s="2">
        <v>25.6</v>
      </c>
      <c r="AA76" s="2">
        <v>17</v>
      </c>
      <c r="AB76" s="2"/>
      <c r="AC76" s="2"/>
      <c r="AD76" s="2" t="s">
        <v>29</v>
      </c>
    </row>
    <row r="77" spans="1:30" ht="26.25" customHeight="1" x14ac:dyDescent="0.25">
      <c r="A77" s="2" t="s">
        <v>25</v>
      </c>
      <c r="B77" s="2" t="s">
        <v>54</v>
      </c>
      <c r="C77" s="2" t="s">
        <v>59</v>
      </c>
      <c r="D77" s="2">
        <v>140017</v>
      </c>
      <c r="E77" s="2" t="s">
        <v>36</v>
      </c>
      <c r="F77" s="2">
        <v>2025</v>
      </c>
      <c r="G77" s="2">
        <v>27</v>
      </c>
      <c r="H77" s="2">
        <v>33</v>
      </c>
      <c r="I77" s="2">
        <f t="shared" si="2"/>
        <v>209</v>
      </c>
      <c r="J77" s="2">
        <f t="shared" si="3"/>
        <v>280</v>
      </c>
      <c r="K77" s="2">
        <v>0</v>
      </c>
      <c r="L77" s="2">
        <v>3</v>
      </c>
      <c r="M77" s="2">
        <v>29</v>
      </c>
      <c r="N77" s="2">
        <v>292</v>
      </c>
      <c r="O77" s="2">
        <v>0</v>
      </c>
      <c r="P77" s="2">
        <v>3</v>
      </c>
      <c r="Q77" s="2">
        <v>10815</v>
      </c>
      <c r="R77" s="2">
        <v>25000</v>
      </c>
      <c r="S77" s="7">
        <v>0.43</v>
      </c>
      <c r="T77" s="2"/>
      <c r="U77" s="2"/>
      <c r="V77" s="2"/>
      <c r="W77" s="7">
        <v>0.82</v>
      </c>
      <c r="X77" s="2">
        <v>0</v>
      </c>
      <c r="Y77" s="2">
        <v>10.3</v>
      </c>
      <c r="Z77" s="2">
        <v>0</v>
      </c>
      <c r="AA77" s="2">
        <v>10.3</v>
      </c>
      <c r="AB77" s="2"/>
      <c r="AC77" s="2"/>
      <c r="AD77" s="2" t="s">
        <v>29</v>
      </c>
    </row>
    <row r="78" spans="1:30" ht="26.25" customHeight="1" x14ac:dyDescent="0.25">
      <c r="A78" s="2" t="s">
        <v>25</v>
      </c>
      <c r="B78" s="2" t="s">
        <v>54</v>
      </c>
      <c r="C78" s="2" t="s">
        <v>60</v>
      </c>
      <c r="D78" s="2">
        <v>140030</v>
      </c>
      <c r="E78" s="2" t="s">
        <v>36</v>
      </c>
      <c r="F78" s="2">
        <v>2025</v>
      </c>
      <c r="G78" s="2">
        <v>28</v>
      </c>
      <c r="H78" s="2">
        <v>24</v>
      </c>
      <c r="I78" s="2">
        <f t="shared" si="2"/>
        <v>227</v>
      </c>
      <c r="J78" s="2">
        <f t="shared" si="3"/>
        <v>241</v>
      </c>
      <c r="K78" s="2">
        <v>2</v>
      </c>
      <c r="L78" s="2">
        <v>4</v>
      </c>
      <c r="M78" s="2">
        <v>26</v>
      </c>
      <c r="N78" s="2">
        <v>217</v>
      </c>
      <c r="O78" s="2">
        <v>3</v>
      </c>
      <c r="P78" s="2">
        <v>9</v>
      </c>
      <c r="Q78" s="2">
        <v>14589</v>
      </c>
      <c r="R78" s="2">
        <v>18000</v>
      </c>
      <c r="S78" s="7">
        <v>0.81</v>
      </c>
      <c r="T78" s="2"/>
      <c r="U78" s="2"/>
      <c r="V78" s="2"/>
      <c r="W78" s="7">
        <v>1.17</v>
      </c>
      <c r="X78" s="2">
        <v>76.900000000000006</v>
      </c>
      <c r="Y78" s="2">
        <v>18.399999999999999</v>
      </c>
      <c r="Z78" s="2">
        <v>115.4</v>
      </c>
      <c r="AA78" s="2">
        <v>41.5</v>
      </c>
      <c r="AB78" s="2"/>
      <c r="AC78" s="2"/>
      <c r="AD78" s="2" t="s">
        <v>29</v>
      </c>
    </row>
    <row r="79" spans="1:30" ht="26.25" customHeight="1" x14ac:dyDescent="0.25">
      <c r="A79" s="2" t="s">
        <v>25</v>
      </c>
      <c r="B79" s="2" t="s">
        <v>54</v>
      </c>
      <c r="C79" s="2" t="s">
        <v>61</v>
      </c>
      <c r="D79" s="2">
        <v>140040</v>
      </c>
      <c r="E79" s="2" t="s">
        <v>36</v>
      </c>
      <c r="F79" s="2">
        <v>2025</v>
      </c>
      <c r="G79" s="2">
        <v>18</v>
      </c>
      <c r="H79" s="2">
        <v>42</v>
      </c>
      <c r="I79" s="2">
        <f t="shared" si="2"/>
        <v>194</v>
      </c>
      <c r="J79" s="2">
        <f t="shared" si="3"/>
        <v>324</v>
      </c>
      <c r="K79" s="2">
        <v>0</v>
      </c>
      <c r="L79" s="2">
        <v>1</v>
      </c>
      <c r="M79" s="2">
        <v>38</v>
      </c>
      <c r="N79" s="2">
        <v>358</v>
      </c>
      <c r="O79" s="2">
        <v>0</v>
      </c>
      <c r="P79" s="2">
        <v>4</v>
      </c>
      <c r="Q79" s="2">
        <v>8837</v>
      </c>
      <c r="R79" s="2">
        <v>10000</v>
      </c>
      <c r="S79" s="7">
        <v>0.88</v>
      </c>
      <c r="T79" s="2"/>
      <c r="U79" s="2"/>
      <c r="V79" s="2"/>
      <c r="W79" s="7">
        <v>0.43</v>
      </c>
      <c r="X79" s="2">
        <v>0</v>
      </c>
      <c r="Y79" s="2">
        <v>2.8</v>
      </c>
      <c r="Z79" s="2">
        <v>0</v>
      </c>
      <c r="AA79" s="2">
        <v>11.2</v>
      </c>
      <c r="AB79" s="2"/>
      <c r="AC79" s="2"/>
      <c r="AD79" s="2" t="s">
        <v>29</v>
      </c>
    </row>
    <row r="80" spans="1:30" ht="26.25" customHeight="1" x14ac:dyDescent="0.25">
      <c r="A80" s="2" t="s">
        <v>25</v>
      </c>
      <c r="B80" s="2" t="s">
        <v>54</v>
      </c>
      <c r="C80" s="2" t="s">
        <v>62</v>
      </c>
      <c r="D80" s="2">
        <v>140045</v>
      </c>
      <c r="E80" s="2" t="s">
        <v>36</v>
      </c>
      <c r="F80" s="2">
        <v>2025</v>
      </c>
      <c r="G80" s="2">
        <v>70</v>
      </c>
      <c r="H80" s="2">
        <v>36</v>
      </c>
      <c r="I80" s="2">
        <f t="shared" si="2"/>
        <v>600</v>
      </c>
      <c r="J80" s="2">
        <f t="shared" si="3"/>
        <v>351</v>
      </c>
      <c r="K80" s="2">
        <v>0</v>
      </c>
      <c r="L80" s="2">
        <v>3</v>
      </c>
      <c r="M80" s="2">
        <v>38</v>
      </c>
      <c r="N80" s="2">
        <v>307</v>
      </c>
      <c r="O80" s="2">
        <v>3</v>
      </c>
      <c r="P80" s="2">
        <v>22</v>
      </c>
      <c r="Q80" s="2">
        <v>12370</v>
      </c>
      <c r="R80" s="2">
        <v>27500</v>
      </c>
      <c r="S80" s="7">
        <v>0.45</v>
      </c>
      <c r="T80" s="2"/>
      <c r="U80" s="2"/>
      <c r="V80" s="2"/>
      <c r="W80" s="7">
        <v>1.94</v>
      </c>
      <c r="X80" s="2">
        <v>0</v>
      </c>
      <c r="Y80" s="2">
        <v>9.8000000000000007</v>
      </c>
      <c r="Z80" s="2">
        <v>78.900000000000006</v>
      </c>
      <c r="AA80" s="2">
        <v>71.7</v>
      </c>
      <c r="AB80" s="2"/>
      <c r="AC80" s="2"/>
      <c r="AD80" s="2" t="s">
        <v>29</v>
      </c>
    </row>
    <row r="81" spans="1:30" ht="26.25" customHeight="1" x14ac:dyDescent="0.25">
      <c r="A81" s="2" t="s">
        <v>25</v>
      </c>
      <c r="B81" s="2" t="s">
        <v>54</v>
      </c>
      <c r="C81" s="2" t="s">
        <v>63</v>
      </c>
      <c r="D81" s="2">
        <v>140070</v>
      </c>
      <c r="E81" s="2" t="s">
        <v>36</v>
      </c>
      <c r="F81" s="2">
        <v>2025</v>
      </c>
      <c r="G81" s="2">
        <v>13</v>
      </c>
      <c r="H81" s="2">
        <v>64</v>
      </c>
      <c r="I81" s="2">
        <f t="shared" si="2"/>
        <v>158</v>
      </c>
      <c r="J81" s="2">
        <f t="shared" si="3"/>
        <v>459</v>
      </c>
      <c r="K81" s="2">
        <v>1</v>
      </c>
      <c r="L81" s="2">
        <v>2</v>
      </c>
      <c r="M81" s="2">
        <v>40</v>
      </c>
      <c r="N81" s="2">
        <v>305</v>
      </c>
      <c r="O81" s="2">
        <v>1</v>
      </c>
      <c r="P81" s="2">
        <v>4</v>
      </c>
      <c r="Q81" s="2">
        <v>9332</v>
      </c>
      <c r="R81" s="2">
        <v>10000</v>
      </c>
      <c r="S81" s="7">
        <v>0.93</v>
      </c>
      <c r="T81" s="2"/>
      <c r="U81" s="2"/>
      <c r="V81" s="2"/>
      <c r="W81" s="7">
        <v>0.2</v>
      </c>
      <c r="X81" s="2">
        <v>25</v>
      </c>
      <c r="Y81" s="2">
        <v>6.6</v>
      </c>
      <c r="Z81" s="2">
        <v>25</v>
      </c>
      <c r="AA81" s="2">
        <v>13.1</v>
      </c>
      <c r="AB81" s="2"/>
      <c r="AC81" s="2"/>
      <c r="AD81" s="2" t="s">
        <v>29</v>
      </c>
    </row>
    <row r="82" spans="1:30" ht="26.25" customHeight="1" x14ac:dyDescent="0.25">
      <c r="A82" s="2" t="s">
        <v>25</v>
      </c>
      <c r="B82" s="2" t="s">
        <v>54</v>
      </c>
      <c r="C82" s="2" t="s">
        <v>64</v>
      </c>
      <c r="D82" s="2" t="s">
        <v>65</v>
      </c>
      <c r="E82" s="2" t="s">
        <v>36</v>
      </c>
      <c r="F82" s="2">
        <v>2025</v>
      </c>
      <c r="G82" s="2">
        <v>210</v>
      </c>
      <c r="H82" s="2">
        <v>332</v>
      </c>
      <c r="I82" s="2">
        <f t="shared" si="2"/>
        <v>2033</v>
      </c>
      <c r="J82" s="2">
        <f t="shared" si="3"/>
        <v>2759</v>
      </c>
      <c r="K82" s="2">
        <v>4</v>
      </c>
      <c r="L82" s="2">
        <v>15</v>
      </c>
      <c r="M82" s="2">
        <v>249</v>
      </c>
      <c r="N82" s="2">
        <v>2146</v>
      </c>
      <c r="O82" s="2">
        <v>9</v>
      </c>
      <c r="P82" s="2">
        <v>54</v>
      </c>
      <c r="Q82" s="2">
        <v>80326</v>
      </c>
      <c r="R82" s="2">
        <v>132000</v>
      </c>
      <c r="S82" s="7">
        <v>0.61</v>
      </c>
      <c r="T82" s="2"/>
      <c r="U82" s="2"/>
      <c r="V82" s="2"/>
      <c r="W82" s="7">
        <v>0.63</v>
      </c>
      <c r="X82" s="2">
        <v>16.100000000000001</v>
      </c>
      <c r="Y82" s="2">
        <v>7</v>
      </c>
      <c r="Z82" s="2">
        <v>36.1</v>
      </c>
      <c r="AA82" s="2">
        <v>25.2</v>
      </c>
      <c r="AB82" s="2"/>
      <c r="AC82" s="2"/>
      <c r="AD82" s="2" t="s">
        <v>66</v>
      </c>
    </row>
    <row r="83" spans="1:30" ht="26.25" customHeight="1" x14ac:dyDescent="0.25">
      <c r="A83" s="2" t="s">
        <v>25</v>
      </c>
      <c r="B83" s="2" t="s">
        <v>54</v>
      </c>
      <c r="C83" s="2" t="s">
        <v>55</v>
      </c>
      <c r="D83" s="2">
        <v>140002</v>
      </c>
      <c r="E83" s="2" t="s">
        <v>37</v>
      </c>
      <c r="F83" s="2">
        <v>2025</v>
      </c>
      <c r="G83" s="2">
        <v>25</v>
      </c>
      <c r="H83" s="2">
        <v>43</v>
      </c>
      <c r="I83" s="2">
        <f t="shared" si="2"/>
        <v>243</v>
      </c>
      <c r="J83" s="2">
        <f t="shared" si="3"/>
        <v>338</v>
      </c>
      <c r="K83" s="2">
        <v>0</v>
      </c>
      <c r="L83" s="2">
        <v>0</v>
      </c>
      <c r="M83" s="2">
        <v>20</v>
      </c>
      <c r="N83" s="2">
        <v>212</v>
      </c>
      <c r="O83" s="2">
        <v>1</v>
      </c>
      <c r="P83" s="2">
        <v>3</v>
      </c>
      <c r="Q83" s="2">
        <v>5889</v>
      </c>
      <c r="R83" s="2">
        <v>10000</v>
      </c>
      <c r="S83" s="7">
        <v>0.59</v>
      </c>
      <c r="T83" s="2"/>
      <c r="U83" s="2"/>
      <c r="V83" s="2"/>
      <c r="W83" s="7">
        <v>0.57999999999999996</v>
      </c>
      <c r="X83" s="2">
        <v>0</v>
      </c>
      <c r="Y83" s="2">
        <v>0</v>
      </c>
      <c r="Z83" s="2">
        <v>50</v>
      </c>
      <c r="AA83" s="2">
        <v>14.2</v>
      </c>
      <c r="AB83" s="2"/>
      <c r="AC83" s="2"/>
      <c r="AD83" s="2" t="s">
        <v>29</v>
      </c>
    </row>
    <row r="84" spans="1:30" ht="26.25" customHeight="1" x14ac:dyDescent="0.25">
      <c r="A84" s="2" t="s">
        <v>25</v>
      </c>
      <c r="B84" s="2" t="s">
        <v>54</v>
      </c>
      <c r="C84" s="2" t="s">
        <v>57</v>
      </c>
      <c r="D84" s="2">
        <v>140005</v>
      </c>
      <c r="E84" s="2" t="s">
        <v>37</v>
      </c>
      <c r="F84" s="2">
        <v>2025</v>
      </c>
      <c r="G84" s="2">
        <v>11</v>
      </c>
      <c r="H84" s="2">
        <v>41</v>
      </c>
      <c r="I84" s="2">
        <f t="shared" si="2"/>
        <v>245</v>
      </c>
      <c r="J84" s="2">
        <f t="shared" si="3"/>
        <v>546</v>
      </c>
      <c r="K84" s="2">
        <v>0</v>
      </c>
      <c r="L84" s="2">
        <v>0</v>
      </c>
      <c r="M84" s="2">
        <v>22</v>
      </c>
      <c r="N84" s="2">
        <v>203</v>
      </c>
      <c r="O84" s="2">
        <v>0</v>
      </c>
      <c r="P84" s="2">
        <v>5</v>
      </c>
      <c r="Q84" s="2">
        <v>9363</v>
      </c>
      <c r="R84" s="2">
        <v>17500</v>
      </c>
      <c r="S84" s="7">
        <v>0.54</v>
      </c>
      <c r="T84" s="2"/>
      <c r="U84" s="2"/>
      <c r="V84" s="2"/>
      <c r="W84" s="7">
        <v>0.27</v>
      </c>
      <c r="X84" s="2">
        <v>0</v>
      </c>
      <c r="Y84" s="2">
        <v>0</v>
      </c>
      <c r="Z84" s="2">
        <v>0</v>
      </c>
      <c r="AA84" s="2">
        <v>24.6</v>
      </c>
      <c r="AB84" s="2"/>
      <c r="AC84" s="2"/>
      <c r="AD84" s="2" t="s">
        <v>29</v>
      </c>
    </row>
    <row r="85" spans="1:30" ht="26.25" customHeight="1" x14ac:dyDescent="0.25">
      <c r="A85" s="2" t="s">
        <v>25</v>
      </c>
      <c r="B85" s="2" t="s">
        <v>54</v>
      </c>
      <c r="C85" s="2" t="s">
        <v>58</v>
      </c>
      <c r="D85" s="2">
        <v>140015</v>
      </c>
      <c r="E85" s="2" t="s">
        <v>37</v>
      </c>
      <c r="F85" s="2">
        <v>2025</v>
      </c>
      <c r="G85" s="2">
        <v>17</v>
      </c>
      <c r="H85" s="2">
        <v>30</v>
      </c>
      <c r="I85" s="2">
        <f t="shared" si="2"/>
        <v>210</v>
      </c>
      <c r="J85" s="2">
        <f t="shared" si="3"/>
        <v>334</v>
      </c>
      <c r="K85" s="2">
        <v>2</v>
      </c>
      <c r="L85" s="2">
        <v>2</v>
      </c>
      <c r="M85" s="2">
        <v>40</v>
      </c>
      <c r="N85" s="2">
        <v>334</v>
      </c>
      <c r="O85" s="2">
        <v>2</v>
      </c>
      <c r="P85" s="2">
        <v>7</v>
      </c>
      <c r="Q85" s="2">
        <v>9437</v>
      </c>
      <c r="R85" s="2">
        <v>14000</v>
      </c>
      <c r="S85" s="7">
        <v>0.67</v>
      </c>
      <c r="T85" s="2"/>
      <c r="U85" s="2"/>
      <c r="V85" s="2"/>
      <c r="W85" s="7">
        <v>0.56999999999999995</v>
      </c>
      <c r="X85" s="2">
        <v>50</v>
      </c>
      <c r="Y85" s="2">
        <v>6</v>
      </c>
      <c r="Z85" s="2">
        <v>50</v>
      </c>
      <c r="AA85" s="2">
        <v>21</v>
      </c>
      <c r="AB85" s="2"/>
      <c r="AC85" s="2"/>
      <c r="AD85" s="2" t="s">
        <v>29</v>
      </c>
    </row>
    <row r="86" spans="1:30" ht="26.25" customHeight="1" x14ac:dyDescent="0.25">
      <c r="A86" s="2" t="s">
        <v>25</v>
      </c>
      <c r="B86" s="2" t="s">
        <v>54</v>
      </c>
      <c r="C86" s="2" t="s">
        <v>59</v>
      </c>
      <c r="D86" s="2">
        <v>140017</v>
      </c>
      <c r="E86" s="2" t="s">
        <v>37</v>
      </c>
      <c r="F86" s="2">
        <v>2025</v>
      </c>
      <c r="G86" s="2">
        <v>22</v>
      </c>
      <c r="H86" s="2">
        <v>45</v>
      </c>
      <c r="I86" s="2">
        <f t="shared" si="2"/>
        <v>231</v>
      </c>
      <c r="J86" s="2">
        <f t="shared" si="3"/>
        <v>325</v>
      </c>
      <c r="K86" s="2">
        <v>1</v>
      </c>
      <c r="L86" s="2">
        <v>1</v>
      </c>
      <c r="M86" s="2">
        <v>30</v>
      </c>
      <c r="N86" s="2">
        <v>322</v>
      </c>
      <c r="O86" s="2">
        <v>2</v>
      </c>
      <c r="P86" s="2">
        <v>5</v>
      </c>
      <c r="Q86" s="2">
        <v>10869</v>
      </c>
      <c r="R86" s="2">
        <v>25000</v>
      </c>
      <c r="S86" s="7">
        <v>0.43</v>
      </c>
      <c r="T86" s="2"/>
      <c r="U86" s="2"/>
      <c r="V86" s="2"/>
      <c r="W86" s="7">
        <v>0.49</v>
      </c>
      <c r="X86" s="2">
        <v>33.299999999999997</v>
      </c>
      <c r="Y86" s="2">
        <v>3.1</v>
      </c>
      <c r="Z86" s="2">
        <v>66.7</v>
      </c>
      <c r="AA86" s="2">
        <v>15.5</v>
      </c>
      <c r="AB86" s="2"/>
      <c r="AC86" s="2"/>
      <c r="AD86" s="2" t="s">
        <v>29</v>
      </c>
    </row>
    <row r="87" spans="1:30" ht="26.25" customHeight="1" x14ac:dyDescent="0.25">
      <c r="A87" s="2" t="s">
        <v>25</v>
      </c>
      <c r="B87" s="2" t="s">
        <v>54</v>
      </c>
      <c r="C87" s="2" t="s">
        <v>60</v>
      </c>
      <c r="D87" s="2">
        <v>140030</v>
      </c>
      <c r="E87" s="2" t="s">
        <v>37</v>
      </c>
      <c r="F87" s="2">
        <v>2025</v>
      </c>
      <c r="G87" s="2">
        <v>18</v>
      </c>
      <c r="H87" s="2">
        <v>27</v>
      </c>
      <c r="I87" s="2">
        <f t="shared" si="2"/>
        <v>245</v>
      </c>
      <c r="J87" s="2">
        <f t="shared" si="3"/>
        <v>268</v>
      </c>
      <c r="K87" s="2">
        <v>0</v>
      </c>
      <c r="L87" s="2">
        <v>0</v>
      </c>
      <c r="M87" s="2">
        <v>28</v>
      </c>
      <c r="N87" s="2">
        <v>245</v>
      </c>
      <c r="O87" s="2">
        <v>0</v>
      </c>
      <c r="P87" s="2">
        <v>9</v>
      </c>
      <c r="Q87" s="2">
        <v>16795</v>
      </c>
      <c r="R87" s="2">
        <v>20000</v>
      </c>
      <c r="S87" s="7">
        <v>0.84</v>
      </c>
      <c r="T87" s="2"/>
      <c r="U87" s="2"/>
      <c r="V87" s="2"/>
      <c r="W87" s="7">
        <v>0.67</v>
      </c>
      <c r="X87" s="2">
        <v>0</v>
      </c>
      <c r="Y87" s="2">
        <v>0</v>
      </c>
      <c r="Z87" s="2">
        <v>0</v>
      </c>
      <c r="AA87" s="2">
        <v>36.700000000000003</v>
      </c>
      <c r="AB87" s="2"/>
      <c r="AC87" s="2"/>
      <c r="AD87" s="2" t="s">
        <v>29</v>
      </c>
    </row>
    <row r="88" spans="1:30" ht="26.25" customHeight="1" x14ac:dyDescent="0.25">
      <c r="A88" s="2" t="s">
        <v>25</v>
      </c>
      <c r="B88" s="2" t="s">
        <v>54</v>
      </c>
      <c r="C88" s="2" t="s">
        <v>61</v>
      </c>
      <c r="D88" s="2">
        <v>140040</v>
      </c>
      <c r="E88" s="2" t="s">
        <v>37</v>
      </c>
      <c r="F88" s="2">
        <v>2025</v>
      </c>
      <c r="G88" s="2">
        <v>17</v>
      </c>
      <c r="H88" s="2">
        <v>51</v>
      </c>
      <c r="I88" s="2">
        <f t="shared" si="2"/>
        <v>211</v>
      </c>
      <c r="J88" s="2">
        <f t="shared" si="3"/>
        <v>375</v>
      </c>
      <c r="K88" s="2">
        <v>0</v>
      </c>
      <c r="L88" s="2">
        <v>0</v>
      </c>
      <c r="M88" s="2">
        <v>36</v>
      </c>
      <c r="N88" s="2">
        <v>394</v>
      </c>
      <c r="O88" s="2">
        <v>0</v>
      </c>
      <c r="P88" s="2">
        <v>4</v>
      </c>
      <c r="Q88" s="2">
        <v>9162</v>
      </c>
      <c r="R88" s="2">
        <v>10000</v>
      </c>
      <c r="S88" s="7">
        <v>0.92</v>
      </c>
      <c r="T88" s="2"/>
      <c r="U88" s="2"/>
      <c r="V88" s="2"/>
      <c r="W88" s="7">
        <v>0.33</v>
      </c>
      <c r="X88" s="2">
        <v>0</v>
      </c>
      <c r="Y88" s="2">
        <v>0</v>
      </c>
      <c r="Z88" s="2">
        <v>0</v>
      </c>
      <c r="AA88" s="2">
        <v>10.199999999999999</v>
      </c>
      <c r="AB88" s="2"/>
      <c r="AC88" s="2"/>
      <c r="AD88" s="2" t="s">
        <v>29</v>
      </c>
    </row>
    <row r="89" spans="1:30" ht="26.25" customHeight="1" x14ac:dyDescent="0.25">
      <c r="A89" s="2" t="s">
        <v>25</v>
      </c>
      <c r="B89" s="2" t="s">
        <v>54</v>
      </c>
      <c r="C89" s="2" t="s">
        <v>62</v>
      </c>
      <c r="D89" s="2">
        <v>140045</v>
      </c>
      <c r="E89" s="2" t="s">
        <v>37</v>
      </c>
      <c r="F89" s="2">
        <v>2025</v>
      </c>
      <c r="G89" s="2">
        <v>52</v>
      </c>
      <c r="H89" s="2">
        <v>42</v>
      </c>
      <c r="I89" s="2">
        <f t="shared" si="2"/>
        <v>652</v>
      </c>
      <c r="J89" s="2">
        <f t="shared" si="3"/>
        <v>393</v>
      </c>
      <c r="K89" s="2">
        <v>1</v>
      </c>
      <c r="L89" s="2">
        <v>1</v>
      </c>
      <c r="M89" s="2">
        <v>33</v>
      </c>
      <c r="N89" s="2">
        <v>340</v>
      </c>
      <c r="O89" s="2">
        <v>4</v>
      </c>
      <c r="P89" s="2">
        <v>26</v>
      </c>
      <c r="Q89" s="2">
        <v>12763</v>
      </c>
      <c r="R89" s="2">
        <v>27500</v>
      </c>
      <c r="S89" s="7">
        <v>0.46</v>
      </c>
      <c r="T89" s="2"/>
      <c r="U89" s="2"/>
      <c r="V89" s="2"/>
      <c r="W89" s="7">
        <v>1.24</v>
      </c>
      <c r="X89" s="2">
        <v>30.3</v>
      </c>
      <c r="Y89" s="2">
        <v>2.9</v>
      </c>
      <c r="Z89" s="2">
        <v>121.2</v>
      </c>
      <c r="AA89" s="2">
        <v>76.5</v>
      </c>
      <c r="AB89" s="2"/>
      <c r="AC89" s="2"/>
      <c r="AD89" s="2" t="s">
        <v>29</v>
      </c>
    </row>
    <row r="90" spans="1:30" ht="26.25" customHeight="1" x14ac:dyDescent="0.25">
      <c r="A90" s="2" t="s">
        <v>25</v>
      </c>
      <c r="B90" s="2" t="s">
        <v>54</v>
      </c>
      <c r="C90" s="2" t="s">
        <v>63</v>
      </c>
      <c r="D90" s="2">
        <v>140070</v>
      </c>
      <c r="E90" s="2" t="s">
        <v>37</v>
      </c>
      <c r="F90" s="2">
        <v>2025</v>
      </c>
      <c r="G90" s="2">
        <v>11</v>
      </c>
      <c r="H90" s="2">
        <v>56</v>
      </c>
      <c r="I90" s="2">
        <f t="shared" si="2"/>
        <v>169</v>
      </c>
      <c r="J90" s="2">
        <f t="shared" si="3"/>
        <v>515</v>
      </c>
      <c r="K90" s="2">
        <v>0</v>
      </c>
      <c r="L90" s="2">
        <v>0</v>
      </c>
      <c r="M90" s="2">
        <v>41</v>
      </c>
      <c r="N90" s="2">
        <v>346</v>
      </c>
      <c r="O90" s="2">
        <v>1</v>
      </c>
      <c r="P90" s="2">
        <v>5</v>
      </c>
      <c r="Q90" s="2">
        <v>9612</v>
      </c>
      <c r="R90" s="2">
        <v>10000</v>
      </c>
      <c r="S90" s="7">
        <v>0.96</v>
      </c>
      <c r="T90" s="2"/>
      <c r="U90" s="2"/>
      <c r="V90" s="2"/>
      <c r="W90" s="7">
        <v>0.2</v>
      </c>
      <c r="X90" s="2">
        <v>0</v>
      </c>
      <c r="Y90" s="2">
        <v>0</v>
      </c>
      <c r="Z90" s="2">
        <v>24.4</v>
      </c>
      <c r="AA90" s="2">
        <v>14.5</v>
      </c>
      <c r="AB90" s="2"/>
      <c r="AC90" s="2"/>
      <c r="AD90" s="2" t="s">
        <v>29</v>
      </c>
    </row>
    <row r="91" spans="1:30" ht="26.25" customHeight="1" x14ac:dyDescent="0.25">
      <c r="A91" s="2" t="s">
        <v>25</v>
      </c>
      <c r="B91" s="2" t="s">
        <v>54</v>
      </c>
      <c r="C91" s="2" t="s">
        <v>64</v>
      </c>
      <c r="D91" s="2" t="s">
        <v>65</v>
      </c>
      <c r="E91" s="2" t="s">
        <v>37</v>
      </c>
      <c r="F91" s="2">
        <v>2025</v>
      </c>
      <c r="G91" s="2">
        <v>173</v>
      </c>
      <c r="H91" s="2">
        <v>335</v>
      </c>
      <c r="I91" s="2">
        <f t="shared" si="2"/>
        <v>2206</v>
      </c>
      <c r="J91" s="2">
        <f t="shared" si="3"/>
        <v>3094</v>
      </c>
      <c r="K91" s="2">
        <v>4</v>
      </c>
      <c r="L91" s="2">
        <v>19</v>
      </c>
      <c r="M91" s="2">
        <v>250</v>
      </c>
      <c r="N91" s="2">
        <v>2396</v>
      </c>
      <c r="O91" s="2">
        <v>10</v>
      </c>
      <c r="P91" s="2">
        <v>64</v>
      </c>
      <c r="Q91" s="2">
        <v>83890</v>
      </c>
      <c r="R91" s="2">
        <v>134000</v>
      </c>
      <c r="S91" s="7">
        <v>0.63</v>
      </c>
      <c r="T91" s="2"/>
      <c r="U91" s="2"/>
      <c r="V91" s="2"/>
      <c r="W91" s="7">
        <v>0.52</v>
      </c>
      <c r="X91" s="2">
        <v>16</v>
      </c>
      <c r="Y91" s="2">
        <v>7.9</v>
      </c>
      <c r="Z91" s="2">
        <v>40</v>
      </c>
      <c r="AA91" s="2">
        <v>26.7</v>
      </c>
      <c r="AB91" s="2"/>
      <c r="AC91" s="2"/>
      <c r="AD91" s="2" t="s">
        <v>66</v>
      </c>
    </row>
    <row r="92" spans="1:30" ht="26.25" customHeight="1" x14ac:dyDescent="0.25">
      <c r="A92" s="2" t="s">
        <v>25</v>
      </c>
      <c r="B92" s="2" t="s">
        <v>54</v>
      </c>
      <c r="C92" s="2" t="s">
        <v>55</v>
      </c>
      <c r="D92" s="2">
        <v>140002</v>
      </c>
      <c r="E92" s="2" t="s">
        <v>71</v>
      </c>
      <c r="F92" s="2">
        <v>2025</v>
      </c>
      <c r="G92" s="2">
        <v>8</v>
      </c>
      <c r="H92" s="2">
        <v>79</v>
      </c>
      <c r="I92" s="2">
        <f t="shared" si="2"/>
        <v>251</v>
      </c>
      <c r="J92" s="2">
        <f t="shared" si="3"/>
        <v>417</v>
      </c>
      <c r="K92" s="2">
        <v>1</v>
      </c>
      <c r="L92" s="2">
        <v>1</v>
      </c>
      <c r="M92" s="2">
        <v>24</v>
      </c>
      <c r="N92" s="2">
        <f>N83+M92</f>
        <v>236</v>
      </c>
      <c r="O92" s="2">
        <v>2</v>
      </c>
      <c r="P92" s="2">
        <f>P83+O92</f>
        <v>5</v>
      </c>
      <c r="Q92" s="2">
        <v>5814</v>
      </c>
      <c r="R92" s="2">
        <v>10000</v>
      </c>
      <c r="S92" s="7">
        <f>Q92/R92</f>
        <v>0.58140000000000003</v>
      </c>
      <c r="T92" s="2"/>
      <c r="U92" s="2"/>
      <c r="V92" s="2"/>
      <c r="W92" s="7">
        <f>G92/H92</f>
        <v>0.10126582278481013</v>
      </c>
      <c r="X92" s="2">
        <v>40</v>
      </c>
      <c r="Y92" s="2">
        <v>4.2</v>
      </c>
      <c r="Z92" s="2">
        <v>0</v>
      </c>
      <c r="AA92" s="2">
        <v>12.7</v>
      </c>
      <c r="AB92" s="2"/>
      <c r="AC92" s="2"/>
      <c r="AD92" s="2" t="s">
        <v>29</v>
      </c>
    </row>
    <row r="93" spans="1:30" ht="26.25" customHeight="1" x14ac:dyDescent="0.25">
      <c r="A93" s="2" t="s">
        <v>25</v>
      </c>
      <c r="B93" s="2" t="s">
        <v>54</v>
      </c>
      <c r="C93" s="2" t="s">
        <v>57</v>
      </c>
      <c r="D93" s="2">
        <v>140005</v>
      </c>
      <c r="E93" s="2" t="s">
        <v>71</v>
      </c>
      <c r="F93" s="2">
        <v>2025</v>
      </c>
      <c r="G93" s="2">
        <v>15</v>
      </c>
      <c r="H93" s="2">
        <v>135</v>
      </c>
      <c r="I93" s="2">
        <f t="shared" si="2"/>
        <v>260</v>
      </c>
      <c r="J93" s="2">
        <f t="shared" si="3"/>
        <v>681</v>
      </c>
      <c r="K93" s="2">
        <v>1</v>
      </c>
      <c r="L93" s="2">
        <v>1</v>
      </c>
      <c r="M93" s="2">
        <v>25</v>
      </c>
      <c r="N93" s="2">
        <f t="shared" ref="N93:N98" si="4">N84+M93</f>
        <v>228</v>
      </c>
      <c r="O93" s="2">
        <v>0</v>
      </c>
      <c r="P93" s="2">
        <f t="shared" ref="P93:P109" si="5">P84+O93</f>
        <v>5</v>
      </c>
      <c r="Q93" s="2">
        <v>8687</v>
      </c>
      <c r="R93" s="2">
        <v>17500</v>
      </c>
      <c r="S93" s="7">
        <f t="shared" ref="S93:S118" si="6">Q93/R93</f>
        <v>0.49640000000000001</v>
      </c>
      <c r="T93" s="2"/>
      <c r="U93" s="2"/>
      <c r="V93" s="2"/>
      <c r="W93" s="7">
        <v>0.25</v>
      </c>
      <c r="X93" s="2">
        <v>0</v>
      </c>
      <c r="Y93" s="2">
        <v>0</v>
      </c>
      <c r="Z93" s="2">
        <v>83.3</v>
      </c>
      <c r="AA93" s="2">
        <v>30.8</v>
      </c>
      <c r="AB93" s="2"/>
      <c r="AC93" s="2"/>
      <c r="AD93" s="2" t="s">
        <v>29</v>
      </c>
    </row>
    <row r="94" spans="1:30" ht="26.25" customHeight="1" x14ac:dyDescent="0.25">
      <c r="A94" s="2" t="s">
        <v>25</v>
      </c>
      <c r="B94" s="2" t="s">
        <v>54</v>
      </c>
      <c r="C94" s="2" t="s">
        <v>58</v>
      </c>
      <c r="D94" s="2">
        <v>140015</v>
      </c>
      <c r="E94" s="2" t="s">
        <v>71</v>
      </c>
      <c r="F94" s="2">
        <v>2025</v>
      </c>
      <c r="G94" s="2">
        <v>22</v>
      </c>
      <c r="H94" s="2">
        <v>156</v>
      </c>
      <c r="I94" s="2">
        <f t="shared" si="2"/>
        <v>232</v>
      </c>
      <c r="J94" s="2">
        <f t="shared" si="3"/>
        <v>490</v>
      </c>
      <c r="K94" s="2">
        <v>0</v>
      </c>
      <c r="L94" s="2">
        <v>0</v>
      </c>
      <c r="M94" s="2">
        <v>26</v>
      </c>
      <c r="N94" s="2">
        <f t="shared" si="4"/>
        <v>360</v>
      </c>
      <c r="O94" s="2">
        <v>1</v>
      </c>
      <c r="P94" s="2">
        <f t="shared" si="5"/>
        <v>8</v>
      </c>
      <c r="Q94" s="2">
        <v>9349</v>
      </c>
      <c r="R94" s="2">
        <v>14000</v>
      </c>
      <c r="S94" s="7">
        <f t="shared" si="6"/>
        <v>0.66778571428571432</v>
      </c>
      <c r="T94" s="2"/>
      <c r="U94" s="2"/>
      <c r="V94" s="2"/>
      <c r="W94" s="7">
        <v>0.71</v>
      </c>
      <c r="X94" s="2">
        <v>0</v>
      </c>
      <c r="Y94" s="2">
        <v>0</v>
      </c>
      <c r="Z94" s="2">
        <v>0</v>
      </c>
      <c r="AA94" s="2">
        <v>19.5</v>
      </c>
      <c r="AB94" s="2"/>
      <c r="AC94" s="2"/>
      <c r="AD94" s="2" t="s">
        <v>29</v>
      </c>
    </row>
    <row r="95" spans="1:30" ht="26.25" customHeight="1" x14ac:dyDescent="0.25">
      <c r="A95" s="2" t="s">
        <v>25</v>
      </c>
      <c r="B95" s="2" t="s">
        <v>54</v>
      </c>
      <c r="C95" s="2" t="s">
        <v>59</v>
      </c>
      <c r="D95" s="2">
        <v>140017</v>
      </c>
      <c r="E95" s="2" t="s">
        <v>71</v>
      </c>
      <c r="F95" s="2">
        <v>2025</v>
      </c>
      <c r="G95" s="2">
        <v>19</v>
      </c>
      <c r="H95" s="2">
        <v>142</v>
      </c>
      <c r="I95" s="2">
        <f t="shared" si="2"/>
        <v>250</v>
      </c>
      <c r="J95" s="2">
        <f t="shared" si="3"/>
        <v>467</v>
      </c>
      <c r="K95" s="2">
        <v>0</v>
      </c>
      <c r="L95" s="2">
        <v>0</v>
      </c>
      <c r="M95" s="2">
        <v>38</v>
      </c>
      <c r="N95" s="2">
        <f t="shared" si="4"/>
        <v>360</v>
      </c>
      <c r="O95" s="2">
        <v>0</v>
      </c>
      <c r="P95" s="2">
        <f t="shared" si="5"/>
        <v>5</v>
      </c>
      <c r="Q95" s="2">
        <v>10623</v>
      </c>
      <c r="R95" s="2">
        <v>25000</v>
      </c>
      <c r="S95" s="7">
        <f t="shared" si="6"/>
        <v>0.42492000000000002</v>
      </c>
      <c r="T95" s="2"/>
      <c r="U95" s="2"/>
      <c r="V95" s="2"/>
      <c r="W95" s="7">
        <v>0.73</v>
      </c>
      <c r="X95" s="2">
        <v>0</v>
      </c>
      <c r="Y95" s="2">
        <v>0</v>
      </c>
      <c r="Z95" s="2">
        <v>0</v>
      </c>
      <c r="AA95" s="2">
        <v>13.9</v>
      </c>
      <c r="AB95" s="2"/>
      <c r="AC95" s="2"/>
      <c r="AD95" s="2" t="s">
        <v>29</v>
      </c>
    </row>
    <row r="96" spans="1:30" ht="26.25" customHeight="1" x14ac:dyDescent="0.25">
      <c r="A96" s="2" t="s">
        <v>25</v>
      </c>
      <c r="B96" s="2" t="s">
        <v>54</v>
      </c>
      <c r="C96" s="2" t="s">
        <v>60</v>
      </c>
      <c r="D96" s="2">
        <v>140030</v>
      </c>
      <c r="E96" s="2" t="s">
        <v>71</v>
      </c>
      <c r="F96" s="2">
        <v>2025</v>
      </c>
      <c r="G96" s="2">
        <v>17</v>
      </c>
      <c r="H96" s="2">
        <v>219</v>
      </c>
      <c r="I96" s="2">
        <f t="shared" si="2"/>
        <v>262</v>
      </c>
      <c r="J96" s="2">
        <f t="shared" si="3"/>
        <v>487</v>
      </c>
      <c r="K96" s="2">
        <v>0</v>
      </c>
      <c r="L96" s="2">
        <v>0</v>
      </c>
      <c r="M96" s="2">
        <v>23</v>
      </c>
      <c r="N96" s="2">
        <f t="shared" si="4"/>
        <v>268</v>
      </c>
      <c r="O96" s="2">
        <v>0</v>
      </c>
      <c r="P96" s="2">
        <f t="shared" si="5"/>
        <v>9</v>
      </c>
      <c r="Q96" s="2">
        <v>14507</v>
      </c>
      <c r="R96" s="2">
        <v>18000</v>
      </c>
      <c r="S96" s="7">
        <f t="shared" si="6"/>
        <v>0.80594444444444446</v>
      </c>
      <c r="T96" s="2"/>
      <c r="U96" s="2"/>
      <c r="V96" s="2"/>
      <c r="W96" s="7">
        <v>0.63</v>
      </c>
      <c r="X96" s="2">
        <v>0</v>
      </c>
      <c r="Y96" s="2">
        <v>0</v>
      </c>
      <c r="Z96" s="2">
        <v>0</v>
      </c>
      <c r="AA96" s="2">
        <v>33.6</v>
      </c>
      <c r="AB96" s="2"/>
      <c r="AC96" s="2"/>
      <c r="AD96" s="2" t="s">
        <v>29</v>
      </c>
    </row>
    <row r="97" spans="1:30" ht="26.25" customHeight="1" x14ac:dyDescent="0.25">
      <c r="A97" s="2" t="s">
        <v>25</v>
      </c>
      <c r="B97" s="2" t="s">
        <v>54</v>
      </c>
      <c r="C97" s="2" t="s">
        <v>61</v>
      </c>
      <c r="D97" s="2">
        <v>140040</v>
      </c>
      <c r="E97" s="2" t="s">
        <v>71</v>
      </c>
      <c r="F97" s="2">
        <v>2025</v>
      </c>
      <c r="G97" s="2">
        <v>18</v>
      </c>
      <c r="H97" s="2">
        <v>78</v>
      </c>
      <c r="I97" s="2">
        <f t="shared" si="2"/>
        <v>229</v>
      </c>
      <c r="J97" s="2">
        <f t="shared" si="3"/>
        <v>453</v>
      </c>
      <c r="K97" s="2">
        <v>0</v>
      </c>
      <c r="L97" s="2">
        <v>0</v>
      </c>
      <c r="M97" s="2">
        <v>32</v>
      </c>
      <c r="N97" s="2">
        <f t="shared" si="4"/>
        <v>426</v>
      </c>
      <c r="O97" s="2">
        <v>0</v>
      </c>
      <c r="P97" s="2">
        <f t="shared" si="5"/>
        <v>4</v>
      </c>
      <c r="Q97" s="2">
        <v>9618</v>
      </c>
      <c r="R97" s="2">
        <v>10000</v>
      </c>
      <c r="S97" s="7">
        <f t="shared" si="6"/>
        <v>0.96179999999999999</v>
      </c>
      <c r="T97" s="2"/>
      <c r="U97" s="2"/>
      <c r="V97" s="2"/>
      <c r="W97" s="7">
        <v>0.45</v>
      </c>
      <c r="X97" s="2">
        <v>0</v>
      </c>
      <c r="Y97" s="2">
        <v>0</v>
      </c>
      <c r="Z97" s="2">
        <v>0</v>
      </c>
      <c r="AA97" s="2">
        <v>9.4</v>
      </c>
      <c r="AB97" s="2"/>
      <c r="AC97" s="2"/>
      <c r="AD97" s="2" t="s">
        <v>29</v>
      </c>
    </row>
    <row r="98" spans="1:30" ht="26.25" customHeight="1" x14ac:dyDescent="0.25">
      <c r="A98" s="2" t="s">
        <v>25</v>
      </c>
      <c r="B98" s="2" t="s">
        <v>54</v>
      </c>
      <c r="C98" s="2" t="s">
        <v>62</v>
      </c>
      <c r="D98" s="2">
        <v>140045</v>
      </c>
      <c r="E98" s="2" t="s">
        <v>71</v>
      </c>
      <c r="F98" s="2">
        <v>2025</v>
      </c>
      <c r="G98" s="2">
        <v>44</v>
      </c>
      <c r="H98" s="2">
        <v>188</v>
      </c>
      <c r="I98" s="2">
        <f t="shared" si="2"/>
        <v>696</v>
      </c>
      <c r="J98" s="2">
        <f t="shared" si="3"/>
        <v>581</v>
      </c>
      <c r="K98" s="2">
        <v>0</v>
      </c>
      <c r="L98" s="2">
        <v>0</v>
      </c>
      <c r="M98" s="2">
        <v>41</v>
      </c>
      <c r="N98" s="2">
        <f t="shared" si="4"/>
        <v>381</v>
      </c>
      <c r="O98" s="2">
        <v>1</v>
      </c>
      <c r="P98" s="2">
        <f t="shared" si="5"/>
        <v>27</v>
      </c>
      <c r="Q98" s="2">
        <v>13435</v>
      </c>
      <c r="R98" s="2">
        <v>27500</v>
      </c>
      <c r="S98" s="7">
        <f t="shared" si="6"/>
        <v>0.48854545454545456</v>
      </c>
      <c r="T98" s="2"/>
      <c r="U98" s="2"/>
      <c r="V98" s="2"/>
      <c r="W98" s="7">
        <v>1.1599999999999999</v>
      </c>
      <c r="X98" s="2">
        <v>0</v>
      </c>
      <c r="Y98" s="2">
        <v>0</v>
      </c>
      <c r="Z98" s="2">
        <v>24.4</v>
      </c>
      <c r="AA98" s="2">
        <v>70.900000000000006</v>
      </c>
      <c r="AB98" s="2"/>
      <c r="AC98" s="2"/>
      <c r="AD98" s="2" t="s">
        <v>29</v>
      </c>
    </row>
    <row r="99" spans="1:30" ht="26.25" customHeight="1" x14ac:dyDescent="0.25">
      <c r="A99" s="2" t="s">
        <v>25</v>
      </c>
      <c r="B99" s="2" t="s">
        <v>54</v>
      </c>
      <c r="C99" s="2" t="s">
        <v>63</v>
      </c>
      <c r="D99" s="2">
        <v>140070</v>
      </c>
      <c r="E99" s="2" t="s">
        <v>71</v>
      </c>
      <c r="F99" s="2">
        <v>2025</v>
      </c>
      <c r="G99" s="2">
        <v>7</v>
      </c>
      <c r="H99" s="2">
        <v>52</v>
      </c>
      <c r="I99" s="2">
        <f t="shared" si="2"/>
        <v>176</v>
      </c>
      <c r="J99" s="2">
        <f t="shared" si="3"/>
        <v>567</v>
      </c>
      <c r="K99" s="2">
        <v>0</v>
      </c>
      <c r="L99" s="2">
        <v>0</v>
      </c>
      <c r="M99" s="2">
        <v>43</v>
      </c>
      <c r="N99" s="2">
        <f>N90+M99</f>
        <v>389</v>
      </c>
      <c r="O99" s="2">
        <v>1</v>
      </c>
      <c r="P99" s="2">
        <f t="shared" si="5"/>
        <v>6</v>
      </c>
      <c r="Q99" s="2">
        <v>10358</v>
      </c>
      <c r="R99" s="2">
        <v>10000</v>
      </c>
      <c r="S99" s="7">
        <f t="shared" si="6"/>
        <v>1.0358000000000001</v>
      </c>
      <c r="T99" s="2"/>
      <c r="U99" s="2"/>
      <c r="V99" s="2"/>
      <c r="W99" s="7">
        <v>0.14000000000000001</v>
      </c>
      <c r="X99" s="2">
        <v>0</v>
      </c>
      <c r="Y99" s="2">
        <v>0</v>
      </c>
      <c r="Z99" s="2">
        <v>0</v>
      </c>
      <c r="AA99" s="2">
        <v>12.9</v>
      </c>
      <c r="AB99" s="2"/>
      <c r="AC99" s="2"/>
      <c r="AD99" s="2" t="s">
        <v>29</v>
      </c>
    </row>
    <row r="100" spans="1:30" ht="26.25" customHeight="1" x14ac:dyDescent="0.25">
      <c r="A100" s="2" t="s">
        <v>25</v>
      </c>
      <c r="B100" s="2" t="s">
        <v>54</v>
      </c>
      <c r="C100" s="2" t="s">
        <v>64</v>
      </c>
      <c r="D100" s="2" t="s">
        <v>65</v>
      </c>
      <c r="E100" s="2" t="s">
        <v>71</v>
      </c>
      <c r="F100" s="2">
        <v>2025</v>
      </c>
      <c r="G100" s="2">
        <v>150</v>
      </c>
      <c r="H100" s="2">
        <v>1049</v>
      </c>
      <c r="I100" s="2">
        <f t="shared" si="2"/>
        <v>2356</v>
      </c>
      <c r="J100" s="2">
        <f t="shared" si="3"/>
        <v>4143</v>
      </c>
      <c r="K100" s="2">
        <v>2</v>
      </c>
      <c r="L100" s="2">
        <v>21</v>
      </c>
      <c r="M100" s="2">
        <v>252</v>
      </c>
      <c r="N100" s="2">
        <f t="shared" ref="N100:N109" si="7">N91+M100</f>
        <v>2648</v>
      </c>
      <c r="O100" s="2">
        <v>5</v>
      </c>
      <c r="P100" s="2">
        <f t="shared" si="5"/>
        <v>69</v>
      </c>
      <c r="Q100" s="2">
        <v>82391</v>
      </c>
      <c r="R100" s="2">
        <v>132000</v>
      </c>
      <c r="S100" s="7">
        <f t="shared" si="6"/>
        <v>0.62417424242424246</v>
      </c>
      <c r="T100" s="2"/>
      <c r="U100" s="2"/>
      <c r="V100" s="2"/>
      <c r="W100" s="7">
        <v>0.47</v>
      </c>
      <c r="X100" s="2">
        <v>4</v>
      </c>
      <c r="Y100" s="2">
        <v>7.6</v>
      </c>
      <c r="Z100" s="2">
        <v>12</v>
      </c>
      <c r="AA100" s="2">
        <v>25.3</v>
      </c>
      <c r="AB100" s="2"/>
      <c r="AC100" s="2"/>
      <c r="AD100" s="2" t="s">
        <v>66</v>
      </c>
    </row>
    <row r="101" spans="1:30" ht="26.25" customHeight="1" x14ac:dyDescent="0.25">
      <c r="A101" s="2" t="s">
        <v>25</v>
      </c>
      <c r="B101" s="2" t="s">
        <v>54</v>
      </c>
      <c r="C101" s="2" t="s">
        <v>55</v>
      </c>
      <c r="D101" s="2">
        <v>140002</v>
      </c>
      <c r="E101" s="2" t="s">
        <v>72</v>
      </c>
      <c r="F101" s="2">
        <v>2025</v>
      </c>
      <c r="G101" s="2">
        <v>6</v>
      </c>
      <c r="H101" s="2">
        <v>75</v>
      </c>
      <c r="I101" s="2">
        <f t="shared" si="2"/>
        <v>257</v>
      </c>
      <c r="J101" s="2">
        <f t="shared" si="3"/>
        <v>492</v>
      </c>
      <c r="K101" s="2">
        <v>0</v>
      </c>
      <c r="L101" s="2">
        <v>0</v>
      </c>
      <c r="M101" s="2">
        <v>20</v>
      </c>
      <c r="N101" s="2">
        <f t="shared" si="7"/>
        <v>256</v>
      </c>
      <c r="O101" s="2">
        <v>0</v>
      </c>
      <c r="P101" s="2">
        <f t="shared" si="5"/>
        <v>5</v>
      </c>
      <c r="Q101" s="2">
        <v>5835</v>
      </c>
      <c r="R101" s="2">
        <v>10000</v>
      </c>
      <c r="S101" s="7">
        <f t="shared" si="6"/>
        <v>0.58350000000000002</v>
      </c>
      <c r="T101" s="2"/>
      <c r="U101" s="2"/>
      <c r="V101" s="2"/>
      <c r="W101" s="7">
        <f>I101/J101</f>
        <v>0.52235772357723576</v>
      </c>
      <c r="X101" s="2">
        <v>0</v>
      </c>
      <c r="Y101" s="2">
        <v>0</v>
      </c>
      <c r="Z101" s="2">
        <v>0</v>
      </c>
      <c r="AA101" s="2">
        <v>0</v>
      </c>
      <c r="AB101" s="2"/>
      <c r="AC101" s="2"/>
      <c r="AD101" s="2" t="s">
        <v>29</v>
      </c>
    </row>
    <row r="102" spans="1:30" ht="26.25" customHeight="1" x14ac:dyDescent="0.25">
      <c r="A102" s="2" t="s">
        <v>25</v>
      </c>
      <c r="B102" s="2" t="s">
        <v>54</v>
      </c>
      <c r="C102" s="2" t="s">
        <v>57</v>
      </c>
      <c r="D102" s="2">
        <v>140005</v>
      </c>
      <c r="E102" s="2" t="s">
        <v>72</v>
      </c>
      <c r="F102" s="2">
        <v>2025</v>
      </c>
      <c r="G102" s="2">
        <v>8</v>
      </c>
      <c r="H102" s="2">
        <v>131</v>
      </c>
      <c r="I102" s="2">
        <f t="shared" si="2"/>
        <v>268</v>
      </c>
      <c r="J102" s="2">
        <f t="shared" si="3"/>
        <v>812</v>
      </c>
      <c r="K102" s="2">
        <v>0</v>
      </c>
      <c r="L102" s="2">
        <v>0</v>
      </c>
      <c r="M102" s="2">
        <v>26</v>
      </c>
      <c r="N102" s="2">
        <f t="shared" si="7"/>
        <v>254</v>
      </c>
      <c r="O102" s="2">
        <v>0</v>
      </c>
      <c r="P102" s="2">
        <f t="shared" si="5"/>
        <v>5</v>
      </c>
      <c r="Q102" s="2">
        <v>8908</v>
      </c>
      <c r="R102" s="2">
        <v>17500</v>
      </c>
      <c r="S102" s="7">
        <f t="shared" si="6"/>
        <v>0.50902857142857139</v>
      </c>
      <c r="T102" s="2"/>
      <c r="U102" s="2"/>
      <c r="V102" s="2"/>
      <c r="W102" s="7">
        <f t="shared" ref="W102:W145" si="8">I102/J102</f>
        <v>0.33004926108374383</v>
      </c>
      <c r="X102" s="2">
        <v>0</v>
      </c>
      <c r="Y102" s="2">
        <v>0</v>
      </c>
      <c r="Z102" s="2">
        <v>0</v>
      </c>
      <c r="AA102" s="2">
        <v>0</v>
      </c>
      <c r="AB102" s="2"/>
      <c r="AC102" s="2"/>
      <c r="AD102" s="2" t="s">
        <v>29</v>
      </c>
    </row>
    <row r="103" spans="1:30" ht="26.25" customHeight="1" x14ac:dyDescent="0.25">
      <c r="A103" s="2" t="s">
        <v>25</v>
      </c>
      <c r="B103" s="2" t="s">
        <v>54</v>
      </c>
      <c r="C103" s="2" t="s">
        <v>58</v>
      </c>
      <c r="D103" s="2">
        <v>140015</v>
      </c>
      <c r="E103" s="2" t="s">
        <v>72</v>
      </c>
      <c r="F103" s="2">
        <v>2025</v>
      </c>
      <c r="G103" s="2">
        <v>13</v>
      </c>
      <c r="H103" s="2">
        <v>159</v>
      </c>
      <c r="I103" s="2">
        <f t="shared" si="2"/>
        <v>245</v>
      </c>
      <c r="J103" s="2">
        <f t="shared" si="3"/>
        <v>649</v>
      </c>
      <c r="K103" s="2">
        <v>0</v>
      </c>
      <c r="L103" s="2">
        <v>0</v>
      </c>
      <c r="M103" s="2">
        <v>23</v>
      </c>
      <c r="N103" s="2">
        <f t="shared" si="7"/>
        <v>383</v>
      </c>
      <c r="O103" s="2">
        <v>0</v>
      </c>
      <c r="P103" s="2">
        <f t="shared" si="5"/>
        <v>8</v>
      </c>
      <c r="Q103" s="2">
        <v>9344</v>
      </c>
      <c r="R103" s="2">
        <v>14000</v>
      </c>
      <c r="S103" s="7">
        <f t="shared" si="6"/>
        <v>0.66742857142857148</v>
      </c>
      <c r="T103" s="2"/>
      <c r="U103" s="2"/>
      <c r="V103" s="2"/>
      <c r="W103" s="7">
        <f t="shared" si="8"/>
        <v>0.37750385208012327</v>
      </c>
      <c r="X103" s="2">
        <v>0</v>
      </c>
      <c r="Y103" s="2">
        <v>0</v>
      </c>
      <c r="Z103" s="2">
        <v>0</v>
      </c>
      <c r="AA103" s="2">
        <v>0</v>
      </c>
      <c r="AB103" s="2"/>
      <c r="AC103" s="2"/>
      <c r="AD103" s="2" t="s">
        <v>29</v>
      </c>
    </row>
    <row r="104" spans="1:30" ht="26.25" customHeight="1" x14ac:dyDescent="0.25">
      <c r="A104" s="2" t="s">
        <v>25</v>
      </c>
      <c r="B104" s="2" t="s">
        <v>54</v>
      </c>
      <c r="C104" s="2" t="s">
        <v>59</v>
      </c>
      <c r="D104" s="2">
        <v>140017</v>
      </c>
      <c r="E104" s="2" t="s">
        <v>72</v>
      </c>
      <c r="F104" s="2">
        <v>2025</v>
      </c>
      <c r="G104" s="2">
        <v>16</v>
      </c>
      <c r="H104" s="2">
        <v>146</v>
      </c>
      <c r="I104" s="2">
        <f t="shared" si="2"/>
        <v>266</v>
      </c>
      <c r="J104" s="2">
        <f t="shared" si="3"/>
        <v>613</v>
      </c>
      <c r="K104" s="2">
        <v>1</v>
      </c>
      <c r="L104" s="2">
        <v>1</v>
      </c>
      <c r="M104" s="2">
        <v>30</v>
      </c>
      <c r="N104" s="2">
        <f t="shared" si="7"/>
        <v>390</v>
      </c>
      <c r="O104" s="2">
        <v>1</v>
      </c>
      <c r="P104" s="2">
        <f t="shared" si="5"/>
        <v>6</v>
      </c>
      <c r="Q104" s="2">
        <v>10698</v>
      </c>
      <c r="R104" s="2">
        <v>25000</v>
      </c>
      <c r="S104" s="7">
        <f t="shared" si="6"/>
        <v>0.42792000000000002</v>
      </c>
      <c r="T104" s="2"/>
      <c r="U104" s="2"/>
      <c r="V104" s="2"/>
      <c r="W104" s="7">
        <f t="shared" si="8"/>
        <v>0.43393148450244701</v>
      </c>
      <c r="X104" s="2">
        <v>500</v>
      </c>
      <c r="Y104" s="2">
        <v>500</v>
      </c>
      <c r="Z104" s="2">
        <v>0</v>
      </c>
      <c r="AA104" s="2">
        <v>0</v>
      </c>
      <c r="AB104" s="2"/>
      <c r="AC104" s="2"/>
      <c r="AD104" s="2" t="s">
        <v>29</v>
      </c>
    </row>
    <row r="105" spans="1:30" ht="26.25" customHeight="1" x14ac:dyDescent="0.25">
      <c r="A105" s="2" t="s">
        <v>25</v>
      </c>
      <c r="B105" s="2" t="s">
        <v>54</v>
      </c>
      <c r="C105" s="2" t="s">
        <v>60</v>
      </c>
      <c r="D105" s="2">
        <v>140030</v>
      </c>
      <c r="E105" s="2" t="s">
        <v>72</v>
      </c>
      <c r="F105" s="2">
        <v>2025</v>
      </c>
      <c r="G105" s="2">
        <v>17</v>
      </c>
      <c r="H105" s="2">
        <v>206</v>
      </c>
      <c r="I105" s="2">
        <f t="shared" si="2"/>
        <v>279</v>
      </c>
      <c r="J105" s="2">
        <f t="shared" si="3"/>
        <v>693</v>
      </c>
      <c r="K105" s="2">
        <v>1</v>
      </c>
      <c r="L105" s="2">
        <v>1</v>
      </c>
      <c r="M105" s="2">
        <v>20</v>
      </c>
      <c r="N105" s="2">
        <f t="shared" si="7"/>
        <v>288</v>
      </c>
      <c r="O105" s="2">
        <v>1</v>
      </c>
      <c r="P105" s="2">
        <f t="shared" si="5"/>
        <v>10</v>
      </c>
      <c r="Q105" s="2">
        <v>14402</v>
      </c>
      <c r="R105" s="2">
        <v>18000</v>
      </c>
      <c r="S105" s="7">
        <f t="shared" si="6"/>
        <v>0.80011111111111111</v>
      </c>
      <c r="T105" s="2"/>
      <c r="U105" s="2"/>
      <c r="V105" s="2"/>
      <c r="W105" s="7">
        <f t="shared" si="8"/>
        <v>0.40259740259740262</v>
      </c>
      <c r="X105" s="2">
        <v>500</v>
      </c>
      <c r="Y105" s="2">
        <v>500</v>
      </c>
      <c r="Z105" s="2">
        <v>500</v>
      </c>
      <c r="AA105" s="2">
        <v>500</v>
      </c>
      <c r="AB105" s="2"/>
      <c r="AC105" s="2"/>
      <c r="AD105" s="2" t="s">
        <v>29</v>
      </c>
    </row>
    <row r="106" spans="1:30" ht="26.25" customHeight="1" x14ac:dyDescent="0.25">
      <c r="A106" s="2" t="s">
        <v>25</v>
      </c>
      <c r="B106" s="2" t="s">
        <v>54</v>
      </c>
      <c r="C106" s="2" t="s">
        <v>61</v>
      </c>
      <c r="D106" s="2">
        <v>140040</v>
      </c>
      <c r="E106" s="2" t="s">
        <v>72</v>
      </c>
      <c r="F106" s="2">
        <v>2025</v>
      </c>
      <c r="G106" s="2">
        <v>8</v>
      </c>
      <c r="H106" s="2">
        <v>71</v>
      </c>
      <c r="I106" s="2">
        <f t="shared" si="2"/>
        <v>237</v>
      </c>
      <c r="J106" s="2">
        <f t="shared" si="3"/>
        <v>524</v>
      </c>
      <c r="K106" s="2">
        <v>0</v>
      </c>
      <c r="L106" s="2">
        <v>0</v>
      </c>
      <c r="M106" s="2">
        <v>45</v>
      </c>
      <c r="N106" s="2">
        <f t="shared" si="7"/>
        <v>471</v>
      </c>
      <c r="O106" s="2">
        <v>0</v>
      </c>
      <c r="P106" s="2">
        <f t="shared" si="5"/>
        <v>4</v>
      </c>
      <c r="Q106" s="2">
        <v>9900</v>
      </c>
      <c r="R106" s="2">
        <v>10000</v>
      </c>
      <c r="S106" s="7">
        <f t="shared" si="6"/>
        <v>0.99</v>
      </c>
      <c r="T106" s="2"/>
      <c r="U106" s="2"/>
      <c r="V106" s="2"/>
      <c r="W106" s="7">
        <f t="shared" si="8"/>
        <v>0.45229007633587787</v>
      </c>
      <c r="X106" s="2">
        <v>0</v>
      </c>
      <c r="Y106" s="2">
        <v>0</v>
      </c>
      <c r="Z106" s="2">
        <v>181.8</v>
      </c>
      <c r="AA106" s="2">
        <v>181.8</v>
      </c>
      <c r="AB106" s="2"/>
      <c r="AC106" s="2"/>
      <c r="AD106" s="2" t="s">
        <v>29</v>
      </c>
    </row>
    <row r="107" spans="1:30" ht="26.25" customHeight="1" x14ac:dyDescent="0.25">
      <c r="A107" s="2" t="s">
        <v>25</v>
      </c>
      <c r="B107" s="2" t="s">
        <v>54</v>
      </c>
      <c r="C107" s="2" t="s">
        <v>62</v>
      </c>
      <c r="D107" s="2">
        <v>140045</v>
      </c>
      <c r="E107" s="2" t="s">
        <v>72</v>
      </c>
      <c r="F107" s="2">
        <v>2025</v>
      </c>
      <c r="G107" s="2">
        <v>112</v>
      </c>
      <c r="H107" s="2">
        <v>210</v>
      </c>
      <c r="I107" s="2">
        <f t="shared" si="2"/>
        <v>808</v>
      </c>
      <c r="J107" s="2">
        <f t="shared" si="3"/>
        <v>791</v>
      </c>
      <c r="K107" s="2">
        <v>0</v>
      </c>
      <c r="L107" s="2">
        <v>0</v>
      </c>
      <c r="M107" s="2">
        <v>22</v>
      </c>
      <c r="N107" s="2">
        <f t="shared" si="7"/>
        <v>403</v>
      </c>
      <c r="O107" s="2">
        <v>2</v>
      </c>
      <c r="P107" s="2">
        <f t="shared" si="5"/>
        <v>29</v>
      </c>
      <c r="Q107" s="2">
        <v>13813</v>
      </c>
      <c r="R107" s="2">
        <v>27500</v>
      </c>
      <c r="S107" s="7">
        <f t="shared" si="6"/>
        <v>0.50229090909090912</v>
      </c>
      <c r="T107" s="2"/>
      <c r="U107" s="2"/>
      <c r="V107" s="2"/>
      <c r="W107" s="7">
        <f t="shared" si="8"/>
        <v>1.0214917825537295</v>
      </c>
      <c r="X107" s="2">
        <v>0</v>
      </c>
      <c r="Y107" s="2">
        <v>0</v>
      </c>
      <c r="Z107" s="2">
        <v>0</v>
      </c>
      <c r="AA107" s="2">
        <v>0</v>
      </c>
      <c r="AB107" s="2"/>
      <c r="AC107" s="2"/>
      <c r="AD107" s="2" t="s">
        <v>29</v>
      </c>
    </row>
    <row r="108" spans="1:30" ht="26.25" customHeight="1" x14ac:dyDescent="0.25">
      <c r="A108" s="2" t="s">
        <v>25</v>
      </c>
      <c r="B108" s="2" t="s">
        <v>54</v>
      </c>
      <c r="C108" s="2" t="s">
        <v>63</v>
      </c>
      <c r="D108" s="2">
        <v>140070</v>
      </c>
      <c r="E108" s="2" t="s">
        <v>72</v>
      </c>
      <c r="F108" s="2">
        <v>2025</v>
      </c>
      <c r="G108" s="2">
        <v>8</v>
      </c>
      <c r="H108" s="2">
        <v>42</v>
      </c>
      <c r="I108" s="2">
        <f t="shared" si="2"/>
        <v>184</v>
      </c>
      <c r="J108" s="2">
        <f t="shared" si="3"/>
        <v>609</v>
      </c>
      <c r="K108" s="2">
        <v>0</v>
      </c>
      <c r="L108" s="2">
        <v>0</v>
      </c>
      <c r="M108" s="2">
        <v>38</v>
      </c>
      <c r="N108" s="2">
        <f t="shared" si="7"/>
        <v>427</v>
      </c>
      <c r="O108" s="2">
        <v>1</v>
      </c>
      <c r="P108" s="2">
        <f>P99+O108</f>
        <v>7</v>
      </c>
      <c r="Q108" s="2">
        <v>10308</v>
      </c>
      <c r="R108" s="2">
        <v>10000</v>
      </c>
      <c r="S108" s="7">
        <f t="shared" si="6"/>
        <v>1.0307999999999999</v>
      </c>
      <c r="T108" s="2"/>
      <c r="U108" s="2"/>
      <c r="V108" s="2"/>
      <c r="W108" s="7">
        <f t="shared" si="8"/>
        <v>0.30213464696223319</v>
      </c>
      <c r="X108" s="2">
        <v>0</v>
      </c>
      <c r="Y108" s="2">
        <v>0</v>
      </c>
      <c r="Z108" s="2">
        <v>0</v>
      </c>
      <c r="AA108" s="2">
        <v>0</v>
      </c>
      <c r="AB108" s="2"/>
      <c r="AC108" s="2"/>
      <c r="AD108" s="2" t="s">
        <v>29</v>
      </c>
    </row>
    <row r="109" spans="1:30" ht="26.25" customHeight="1" x14ac:dyDescent="0.25">
      <c r="A109" s="2" t="s">
        <v>25</v>
      </c>
      <c r="B109" s="2" t="s">
        <v>54</v>
      </c>
      <c r="C109" s="2" t="s">
        <v>64</v>
      </c>
      <c r="D109" s="2" t="s">
        <v>65</v>
      </c>
      <c r="E109" s="2" t="s">
        <v>72</v>
      </c>
      <c r="F109" s="2">
        <v>2025</v>
      </c>
      <c r="G109" s="2">
        <v>188</v>
      </c>
      <c r="H109" s="2">
        <v>1040</v>
      </c>
      <c r="I109" s="2">
        <f t="shared" si="2"/>
        <v>2544</v>
      </c>
      <c r="J109" s="2">
        <f t="shared" si="3"/>
        <v>5183</v>
      </c>
      <c r="K109" s="2">
        <v>2</v>
      </c>
      <c r="L109" s="2">
        <v>23</v>
      </c>
      <c r="M109" s="2">
        <v>224</v>
      </c>
      <c r="N109" s="2">
        <f t="shared" si="7"/>
        <v>2872</v>
      </c>
      <c r="O109" s="2">
        <v>3</v>
      </c>
      <c r="P109" s="2">
        <f t="shared" si="5"/>
        <v>72</v>
      </c>
      <c r="Q109" s="2">
        <v>77373</v>
      </c>
      <c r="R109" s="2">
        <v>132000</v>
      </c>
      <c r="S109" s="7">
        <f t="shared" si="6"/>
        <v>0.58615909090909091</v>
      </c>
      <c r="T109" s="2"/>
      <c r="U109" s="2"/>
      <c r="V109" s="2"/>
      <c r="W109" s="7">
        <f>I109/J109</f>
        <v>0.49083542349990356</v>
      </c>
      <c r="X109" s="2">
        <v>48.8</v>
      </c>
      <c r="Y109" s="2">
        <v>536.6</v>
      </c>
      <c r="Z109" s="2">
        <v>73.2</v>
      </c>
      <c r="AA109" s="2">
        <v>73.2</v>
      </c>
      <c r="AB109" s="2"/>
      <c r="AC109" s="2"/>
      <c r="AD109" s="2" t="s">
        <v>66</v>
      </c>
    </row>
    <row r="110" spans="1:30" ht="26.25" customHeight="1" x14ac:dyDescent="0.25">
      <c r="A110" s="2" t="s">
        <v>25</v>
      </c>
      <c r="B110" s="2" t="s">
        <v>54</v>
      </c>
      <c r="C110" s="2" t="s">
        <v>55</v>
      </c>
      <c r="D110" s="2">
        <v>140002</v>
      </c>
      <c r="E110" s="2" t="s">
        <v>56</v>
      </c>
      <c r="F110" s="2">
        <v>2026</v>
      </c>
      <c r="G110" s="2">
        <v>22</v>
      </c>
      <c r="H110" s="2">
        <v>65</v>
      </c>
      <c r="I110" s="2">
        <f>G110</f>
        <v>22</v>
      </c>
      <c r="J110" s="2">
        <f>H110</f>
        <v>65</v>
      </c>
      <c r="K110" s="2">
        <v>0</v>
      </c>
      <c r="L110" s="2">
        <v>0</v>
      </c>
      <c r="M110" s="2">
        <v>24</v>
      </c>
      <c r="N110" s="2">
        <v>24</v>
      </c>
      <c r="O110" s="2">
        <v>0</v>
      </c>
      <c r="P110" s="2">
        <v>0</v>
      </c>
      <c r="Q110" s="2">
        <v>5814</v>
      </c>
      <c r="R110" s="2">
        <v>10000</v>
      </c>
      <c r="S110" s="7">
        <f t="shared" si="6"/>
        <v>0.58140000000000003</v>
      </c>
      <c r="T110" s="2">
        <v>29</v>
      </c>
      <c r="U110" s="2">
        <v>17</v>
      </c>
      <c r="V110" s="2">
        <v>72</v>
      </c>
      <c r="W110" s="7">
        <f>I110/J110</f>
        <v>0.33846153846153848</v>
      </c>
      <c r="X110" s="2">
        <f>K110/M110*1000</f>
        <v>0</v>
      </c>
      <c r="Y110" s="2">
        <f>L110/N110*1000</f>
        <v>0</v>
      </c>
      <c r="Z110" s="2">
        <f>O110/M110*1000</f>
        <v>0</v>
      </c>
      <c r="AA110" s="2">
        <f>P110/N110*1000</f>
        <v>0</v>
      </c>
      <c r="AB110" s="11">
        <f>T110/V110</f>
        <v>0.40277777777777779</v>
      </c>
      <c r="AC110" s="11">
        <f>U110/V110</f>
        <v>0.2361111111111111</v>
      </c>
      <c r="AD110" s="2" t="s">
        <v>29</v>
      </c>
    </row>
    <row r="111" spans="1:30" ht="26.25" customHeight="1" x14ac:dyDescent="0.25">
      <c r="A111" s="2" t="s">
        <v>25</v>
      </c>
      <c r="B111" s="2" t="s">
        <v>54</v>
      </c>
      <c r="C111" s="2" t="s">
        <v>57</v>
      </c>
      <c r="D111" s="2">
        <v>140005</v>
      </c>
      <c r="E111" s="2" t="s">
        <v>56</v>
      </c>
      <c r="F111" s="2">
        <v>2026</v>
      </c>
      <c r="G111" s="2">
        <v>16</v>
      </c>
      <c r="H111" s="2">
        <v>138</v>
      </c>
      <c r="I111" s="2">
        <f t="shared" ref="I111:I118" si="9">G111</f>
        <v>16</v>
      </c>
      <c r="J111" s="2">
        <f t="shared" ref="J111:J118" si="10">H111</f>
        <v>138</v>
      </c>
      <c r="K111" s="2">
        <v>0</v>
      </c>
      <c r="L111" s="2">
        <v>0</v>
      </c>
      <c r="M111" s="2">
        <v>29</v>
      </c>
      <c r="N111" s="2">
        <v>29</v>
      </c>
      <c r="O111" s="2">
        <v>0</v>
      </c>
      <c r="P111" s="2">
        <v>0</v>
      </c>
      <c r="Q111" s="2">
        <v>8687</v>
      </c>
      <c r="R111" s="2">
        <v>17500</v>
      </c>
      <c r="S111" s="7">
        <f t="shared" si="6"/>
        <v>0.49640000000000001</v>
      </c>
      <c r="T111" s="2">
        <v>66</v>
      </c>
      <c r="U111" s="2">
        <v>29</v>
      </c>
      <c r="V111" s="2">
        <v>119</v>
      </c>
      <c r="W111" s="7">
        <f t="shared" si="8"/>
        <v>0.11594202898550725</v>
      </c>
      <c r="X111" s="2">
        <f t="shared" ref="X111:X145" si="11">K111/M111*1000</f>
        <v>0</v>
      </c>
      <c r="Y111" s="2">
        <f t="shared" ref="Y111:Y145" si="12">L111/N111*1000</f>
        <v>0</v>
      </c>
      <c r="Z111" s="2">
        <f t="shared" ref="Z111:Z145" si="13">O111/M111*1000</f>
        <v>0</v>
      </c>
      <c r="AA111" s="2">
        <f t="shared" ref="AA111:AA145" si="14">P111/N111*1000</f>
        <v>0</v>
      </c>
      <c r="AB111" s="11">
        <f t="shared" ref="AB111:AB118" si="15">T111/V111</f>
        <v>0.55462184873949583</v>
      </c>
      <c r="AC111" s="11">
        <f t="shared" ref="AC111:AC118" si="16">U111/V111</f>
        <v>0.24369747899159663</v>
      </c>
      <c r="AD111" s="2" t="s">
        <v>29</v>
      </c>
    </row>
    <row r="112" spans="1:30" ht="26.25" customHeight="1" x14ac:dyDescent="0.25">
      <c r="A112" s="2" t="s">
        <v>25</v>
      </c>
      <c r="B112" s="2" t="s">
        <v>54</v>
      </c>
      <c r="C112" s="2" t="s">
        <v>58</v>
      </c>
      <c r="D112" s="2">
        <v>140015</v>
      </c>
      <c r="E112" s="2" t="s">
        <v>56</v>
      </c>
      <c r="F112" s="2">
        <v>2026</v>
      </c>
      <c r="G112" s="2">
        <v>29</v>
      </c>
      <c r="H112" s="2">
        <v>154</v>
      </c>
      <c r="I112" s="2">
        <f t="shared" si="9"/>
        <v>29</v>
      </c>
      <c r="J112" s="2">
        <f t="shared" si="10"/>
        <v>154</v>
      </c>
      <c r="K112" s="2">
        <v>0</v>
      </c>
      <c r="L112" s="2">
        <v>0</v>
      </c>
      <c r="M112" s="2">
        <v>31</v>
      </c>
      <c r="N112" s="2">
        <v>31</v>
      </c>
      <c r="O112" s="2">
        <v>0</v>
      </c>
      <c r="P112" s="2">
        <v>0</v>
      </c>
      <c r="Q112" s="2">
        <v>9349</v>
      </c>
      <c r="R112" s="2">
        <v>14000</v>
      </c>
      <c r="S112" s="7">
        <f t="shared" si="6"/>
        <v>0.66778571428571432</v>
      </c>
      <c r="T112" s="2">
        <v>84</v>
      </c>
      <c r="U112" s="2">
        <v>45</v>
      </c>
      <c r="V112" s="2">
        <v>124</v>
      </c>
      <c r="W112" s="7">
        <f t="shared" si="8"/>
        <v>0.18831168831168832</v>
      </c>
      <c r="X112" s="2">
        <f t="shared" si="11"/>
        <v>0</v>
      </c>
      <c r="Y112" s="2">
        <f t="shared" si="12"/>
        <v>0</v>
      </c>
      <c r="Z112" s="2">
        <f t="shared" si="13"/>
        <v>0</v>
      </c>
      <c r="AA112" s="2">
        <f t="shared" si="14"/>
        <v>0</v>
      </c>
      <c r="AB112" s="11">
        <f t="shared" si="15"/>
        <v>0.67741935483870963</v>
      </c>
      <c r="AC112" s="11">
        <f t="shared" si="16"/>
        <v>0.36290322580645162</v>
      </c>
      <c r="AD112" s="2" t="s">
        <v>29</v>
      </c>
    </row>
    <row r="113" spans="1:30" ht="26.25" customHeight="1" x14ac:dyDescent="0.25">
      <c r="A113" s="2" t="s">
        <v>25</v>
      </c>
      <c r="B113" s="2" t="s">
        <v>54</v>
      </c>
      <c r="C113" s="2" t="s">
        <v>59</v>
      </c>
      <c r="D113" s="2">
        <v>140017</v>
      </c>
      <c r="E113" s="2" t="s">
        <v>56</v>
      </c>
      <c r="F113" s="2">
        <v>2026</v>
      </c>
      <c r="G113" s="2">
        <v>29</v>
      </c>
      <c r="H113" s="2">
        <v>170</v>
      </c>
      <c r="I113" s="2">
        <f t="shared" si="9"/>
        <v>29</v>
      </c>
      <c r="J113" s="2">
        <f t="shared" si="10"/>
        <v>170</v>
      </c>
      <c r="K113" s="2">
        <v>0</v>
      </c>
      <c r="L113" s="2">
        <v>0</v>
      </c>
      <c r="M113" s="2">
        <v>23</v>
      </c>
      <c r="N113" s="2">
        <v>23</v>
      </c>
      <c r="O113" s="2">
        <v>1</v>
      </c>
      <c r="P113" s="2">
        <v>1</v>
      </c>
      <c r="Q113" s="2">
        <v>10623</v>
      </c>
      <c r="R113" s="2">
        <v>25000</v>
      </c>
      <c r="S113" s="7">
        <f t="shared" si="6"/>
        <v>0.42492000000000002</v>
      </c>
      <c r="T113" s="2">
        <v>48</v>
      </c>
      <c r="U113" s="2">
        <v>33</v>
      </c>
      <c r="V113" s="2">
        <v>134</v>
      </c>
      <c r="W113" s="7">
        <f t="shared" si="8"/>
        <v>0.17058823529411765</v>
      </c>
      <c r="X113" s="2">
        <f t="shared" si="11"/>
        <v>0</v>
      </c>
      <c r="Y113" s="2">
        <f t="shared" si="12"/>
        <v>0</v>
      </c>
      <c r="Z113" s="2">
        <f t="shared" si="13"/>
        <v>43.478260869565219</v>
      </c>
      <c r="AA113" s="2">
        <f t="shared" si="14"/>
        <v>43.478260869565219</v>
      </c>
      <c r="AB113" s="11">
        <f t="shared" si="15"/>
        <v>0.35820895522388058</v>
      </c>
      <c r="AC113" s="11">
        <f t="shared" si="16"/>
        <v>0.2462686567164179</v>
      </c>
      <c r="AD113" s="2" t="s">
        <v>29</v>
      </c>
    </row>
    <row r="114" spans="1:30" ht="26.25" customHeight="1" x14ac:dyDescent="0.25">
      <c r="A114" s="2" t="s">
        <v>25</v>
      </c>
      <c r="B114" s="2" t="s">
        <v>54</v>
      </c>
      <c r="C114" s="2" t="s">
        <v>60</v>
      </c>
      <c r="D114" s="2">
        <v>140030</v>
      </c>
      <c r="E114" s="2" t="s">
        <v>56</v>
      </c>
      <c r="F114" s="2">
        <v>2026</v>
      </c>
      <c r="G114" s="2">
        <v>21</v>
      </c>
      <c r="H114" s="2">
        <v>219</v>
      </c>
      <c r="I114" s="2">
        <f t="shared" si="9"/>
        <v>21</v>
      </c>
      <c r="J114" s="2">
        <f t="shared" si="10"/>
        <v>219</v>
      </c>
      <c r="K114" s="2">
        <v>0</v>
      </c>
      <c r="L114" s="2">
        <v>0</v>
      </c>
      <c r="M114" s="2">
        <v>21</v>
      </c>
      <c r="N114" s="2">
        <v>21</v>
      </c>
      <c r="O114" s="2">
        <v>0</v>
      </c>
      <c r="P114" s="2">
        <v>0</v>
      </c>
      <c r="Q114" s="2">
        <v>14507</v>
      </c>
      <c r="R114" s="2">
        <v>18000</v>
      </c>
      <c r="S114" s="7">
        <f t="shared" si="6"/>
        <v>0.80594444444444446</v>
      </c>
      <c r="T114" s="2">
        <v>134</v>
      </c>
      <c r="U114" s="2">
        <v>57</v>
      </c>
      <c r="V114" s="2">
        <v>198</v>
      </c>
      <c r="W114" s="7">
        <f t="shared" si="8"/>
        <v>9.5890410958904104E-2</v>
      </c>
      <c r="X114" s="2">
        <f t="shared" si="11"/>
        <v>0</v>
      </c>
      <c r="Y114" s="2">
        <f t="shared" si="12"/>
        <v>0</v>
      </c>
      <c r="Z114" s="2">
        <f t="shared" si="13"/>
        <v>0</v>
      </c>
      <c r="AA114" s="2">
        <f t="shared" si="14"/>
        <v>0</v>
      </c>
      <c r="AB114" s="11">
        <f t="shared" si="15"/>
        <v>0.6767676767676768</v>
      </c>
      <c r="AC114" s="11">
        <f t="shared" si="16"/>
        <v>0.2878787878787879</v>
      </c>
      <c r="AD114" s="2" t="s">
        <v>29</v>
      </c>
    </row>
    <row r="115" spans="1:30" ht="26.25" customHeight="1" x14ac:dyDescent="0.25">
      <c r="A115" s="2" t="s">
        <v>25</v>
      </c>
      <c r="B115" s="2" t="s">
        <v>54</v>
      </c>
      <c r="C115" s="2" t="s">
        <v>61</v>
      </c>
      <c r="D115" s="2">
        <v>140040</v>
      </c>
      <c r="E115" s="2" t="s">
        <v>56</v>
      </c>
      <c r="F115" s="2">
        <v>2026</v>
      </c>
      <c r="G115" s="2">
        <v>39</v>
      </c>
      <c r="H115" s="2">
        <v>61</v>
      </c>
      <c r="I115" s="2">
        <f t="shared" si="9"/>
        <v>39</v>
      </c>
      <c r="J115" s="2">
        <f t="shared" si="10"/>
        <v>61</v>
      </c>
      <c r="K115" s="2">
        <v>0</v>
      </c>
      <c r="L115" s="2">
        <v>0</v>
      </c>
      <c r="M115" s="2">
        <v>37</v>
      </c>
      <c r="N115" s="2">
        <v>37</v>
      </c>
      <c r="O115" s="2">
        <v>0</v>
      </c>
      <c r="P115" s="2">
        <v>0</v>
      </c>
      <c r="Q115" s="2">
        <v>9618</v>
      </c>
      <c r="R115" s="2">
        <v>10000</v>
      </c>
      <c r="S115" s="7">
        <f t="shared" si="6"/>
        <v>0.96179999999999999</v>
      </c>
      <c r="T115" s="2">
        <v>63</v>
      </c>
      <c r="U115" s="2">
        <v>42</v>
      </c>
      <c r="V115" s="2">
        <v>137</v>
      </c>
      <c r="W115" s="7">
        <f t="shared" si="8"/>
        <v>0.63934426229508201</v>
      </c>
      <c r="X115" s="2">
        <f t="shared" si="11"/>
        <v>0</v>
      </c>
      <c r="Y115" s="2">
        <f t="shared" si="12"/>
        <v>0</v>
      </c>
      <c r="Z115" s="2">
        <f t="shared" si="13"/>
        <v>0</v>
      </c>
      <c r="AA115" s="2">
        <f t="shared" si="14"/>
        <v>0</v>
      </c>
      <c r="AB115" s="11">
        <f t="shared" si="15"/>
        <v>0.45985401459854014</v>
      </c>
      <c r="AC115" s="11">
        <f t="shared" si="16"/>
        <v>0.30656934306569344</v>
      </c>
      <c r="AD115" s="2" t="s">
        <v>29</v>
      </c>
    </row>
    <row r="116" spans="1:30" ht="26.25" customHeight="1" x14ac:dyDescent="0.25">
      <c r="A116" s="2" t="s">
        <v>25</v>
      </c>
      <c r="B116" s="2" t="s">
        <v>54</v>
      </c>
      <c r="C116" s="2" t="s">
        <v>62</v>
      </c>
      <c r="D116" s="2">
        <v>140045</v>
      </c>
      <c r="E116" s="2" t="s">
        <v>56</v>
      </c>
      <c r="F116" s="2">
        <v>2026</v>
      </c>
      <c r="G116" s="2">
        <v>156</v>
      </c>
      <c r="H116" s="2">
        <v>236</v>
      </c>
      <c r="I116" s="2">
        <f t="shared" si="9"/>
        <v>156</v>
      </c>
      <c r="J116" s="2">
        <f t="shared" si="10"/>
        <v>236</v>
      </c>
      <c r="K116" s="2">
        <v>0</v>
      </c>
      <c r="L116" s="2">
        <v>0</v>
      </c>
      <c r="M116" s="2">
        <v>40</v>
      </c>
      <c r="N116" s="2">
        <v>40</v>
      </c>
      <c r="O116" s="2">
        <v>2</v>
      </c>
      <c r="P116" s="2">
        <v>2</v>
      </c>
      <c r="Q116" s="2">
        <v>14935</v>
      </c>
      <c r="R116" s="2">
        <v>27500</v>
      </c>
      <c r="S116" s="7">
        <f t="shared" si="6"/>
        <v>0.54309090909090907</v>
      </c>
      <c r="T116" s="2">
        <v>52</v>
      </c>
      <c r="U116" s="2">
        <v>15</v>
      </c>
      <c r="V116" s="2">
        <v>133</v>
      </c>
      <c r="W116" s="7">
        <f t="shared" si="8"/>
        <v>0.66101694915254239</v>
      </c>
      <c r="X116" s="2">
        <f t="shared" si="11"/>
        <v>0</v>
      </c>
      <c r="Y116" s="2">
        <f t="shared" si="12"/>
        <v>0</v>
      </c>
      <c r="Z116" s="2">
        <f t="shared" si="13"/>
        <v>50</v>
      </c>
      <c r="AA116" s="2">
        <f t="shared" si="14"/>
        <v>50</v>
      </c>
      <c r="AB116" s="11">
        <f t="shared" si="15"/>
        <v>0.39097744360902253</v>
      </c>
      <c r="AC116" s="11">
        <f t="shared" si="16"/>
        <v>0.11278195488721804</v>
      </c>
      <c r="AD116" s="2" t="s">
        <v>29</v>
      </c>
    </row>
    <row r="117" spans="1:30" ht="26.25" customHeight="1" x14ac:dyDescent="0.25">
      <c r="A117" s="2" t="s">
        <v>25</v>
      </c>
      <c r="B117" s="2" t="s">
        <v>54</v>
      </c>
      <c r="C117" s="2" t="s">
        <v>63</v>
      </c>
      <c r="D117" s="2">
        <v>140070</v>
      </c>
      <c r="E117" s="2" t="s">
        <v>56</v>
      </c>
      <c r="F117" s="2">
        <v>2026</v>
      </c>
      <c r="G117" s="2">
        <v>22</v>
      </c>
      <c r="H117" s="2">
        <v>36</v>
      </c>
      <c r="I117" s="2">
        <f t="shared" si="9"/>
        <v>22</v>
      </c>
      <c r="J117" s="2">
        <f t="shared" si="10"/>
        <v>36</v>
      </c>
      <c r="K117" s="2">
        <v>0</v>
      </c>
      <c r="L117" s="2">
        <v>0</v>
      </c>
      <c r="M117" s="2">
        <v>47</v>
      </c>
      <c r="N117" s="2">
        <v>47</v>
      </c>
      <c r="O117" s="2">
        <v>0</v>
      </c>
      <c r="P117" s="2">
        <v>0</v>
      </c>
      <c r="Q117" s="2">
        <v>10358</v>
      </c>
      <c r="R117" s="2">
        <v>10000</v>
      </c>
      <c r="S117" s="7">
        <f t="shared" si="6"/>
        <v>1.0358000000000001</v>
      </c>
      <c r="T117" s="2">
        <v>53</v>
      </c>
      <c r="U117" s="2">
        <v>14</v>
      </c>
      <c r="V117" s="2">
        <v>138</v>
      </c>
      <c r="W117" s="7">
        <f t="shared" si="8"/>
        <v>0.61111111111111116</v>
      </c>
      <c r="X117" s="2">
        <f t="shared" si="11"/>
        <v>0</v>
      </c>
      <c r="Y117" s="2">
        <f t="shared" si="12"/>
        <v>0</v>
      </c>
      <c r="Z117" s="2">
        <f t="shared" si="13"/>
        <v>0</v>
      </c>
      <c r="AA117" s="2">
        <f t="shared" si="14"/>
        <v>0</v>
      </c>
      <c r="AB117" s="11">
        <f t="shared" si="15"/>
        <v>0.38405797101449274</v>
      </c>
      <c r="AC117" s="11">
        <f t="shared" si="16"/>
        <v>0.10144927536231885</v>
      </c>
      <c r="AD117" s="2" t="s">
        <v>29</v>
      </c>
    </row>
    <row r="118" spans="1:30" ht="26.25" customHeight="1" x14ac:dyDescent="0.25">
      <c r="A118" s="2" t="s">
        <v>25</v>
      </c>
      <c r="B118" s="2" t="s">
        <v>54</v>
      </c>
      <c r="C118" s="2" t="s">
        <v>64</v>
      </c>
      <c r="D118" s="2" t="s">
        <v>65</v>
      </c>
      <c r="E118" s="2" t="s">
        <v>56</v>
      </c>
      <c r="F118" s="2">
        <v>2026</v>
      </c>
      <c r="G118" s="2">
        <v>334</v>
      </c>
      <c r="H118" s="2">
        <v>1079</v>
      </c>
      <c r="I118" s="2">
        <f t="shared" si="9"/>
        <v>334</v>
      </c>
      <c r="J118" s="2">
        <f t="shared" si="10"/>
        <v>1079</v>
      </c>
      <c r="K118" s="2">
        <v>0</v>
      </c>
      <c r="L118" s="2">
        <v>0</v>
      </c>
      <c r="M118" s="2">
        <v>252</v>
      </c>
      <c r="N118" s="2">
        <v>252</v>
      </c>
      <c r="O118" s="2">
        <v>3</v>
      </c>
      <c r="P118" s="2">
        <v>3</v>
      </c>
      <c r="Q118" s="2">
        <f>SUM(Q110:Q117)</f>
        <v>83891</v>
      </c>
      <c r="R118" s="2">
        <f>SUM(R110:R117)</f>
        <v>132000</v>
      </c>
      <c r="S118" s="7">
        <f t="shared" si="6"/>
        <v>0.63553787878787882</v>
      </c>
      <c r="T118" s="2">
        <f>SUM(T110:T117)</f>
        <v>529</v>
      </c>
      <c r="U118" s="2">
        <f t="shared" ref="U118:V118" si="17">SUM(U110:U117)</f>
        <v>252</v>
      </c>
      <c r="V118" s="2">
        <f t="shared" si="17"/>
        <v>1055</v>
      </c>
      <c r="W118" s="7">
        <f t="shared" si="8"/>
        <v>0.30954587581093607</v>
      </c>
      <c r="X118" s="2">
        <f t="shared" si="11"/>
        <v>0</v>
      </c>
      <c r="Y118" s="2">
        <f t="shared" si="12"/>
        <v>0</v>
      </c>
      <c r="Z118" s="2">
        <f t="shared" si="13"/>
        <v>11.904761904761903</v>
      </c>
      <c r="AA118" s="2">
        <f t="shared" si="14"/>
        <v>11.904761904761903</v>
      </c>
      <c r="AB118" s="11">
        <f t="shared" si="15"/>
        <v>0.50142180094786726</v>
      </c>
      <c r="AC118" s="11">
        <f t="shared" si="16"/>
        <v>0.23886255924170616</v>
      </c>
      <c r="AD118" s="2" t="s">
        <v>66</v>
      </c>
    </row>
    <row r="119" spans="1:30" ht="26.25" customHeight="1" x14ac:dyDescent="0.25">
      <c r="A119" s="2" t="s">
        <v>25</v>
      </c>
      <c r="B119" s="2" t="s">
        <v>54</v>
      </c>
      <c r="C119" s="2" t="s">
        <v>55</v>
      </c>
      <c r="D119" s="2">
        <v>140002</v>
      </c>
      <c r="E119" s="2" t="s">
        <v>67</v>
      </c>
      <c r="F119" s="2">
        <v>2026</v>
      </c>
      <c r="G119" s="2">
        <v>9</v>
      </c>
      <c r="H119" s="2">
        <v>73</v>
      </c>
      <c r="I119" s="2">
        <f>G119+I110</f>
        <v>31</v>
      </c>
      <c r="J119" s="2">
        <f>H119+J110</f>
        <v>138</v>
      </c>
      <c r="K119" s="2">
        <v>0</v>
      </c>
      <c r="L119" s="2">
        <v>0</v>
      </c>
      <c r="M119" s="2">
        <v>14</v>
      </c>
      <c r="N119" s="2">
        <f>M119+N110</f>
        <v>38</v>
      </c>
      <c r="O119" s="2">
        <v>0</v>
      </c>
      <c r="P119" s="2">
        <f>O119+P110</f>
        <v>0</v>
      </c>
      <c r="Q119" s="2"/>
      <c r="R119" s="2"/>
      <c r="S119" s="2"/>
      <c r="T119" s="2"/>
      <c r="U119" s="2"/>
      <c r="V119" s="2"/>
      <c r="W119" s="7">
        <f t="shared" si="8"/>
        <v>0.22463768115942029</v>
      </c>
      <c r="X119" s="2">
        <f t="shared" si="11"/>
        <v>0</v>
      </c>
      <c r="Y119" s="2">
        <f t="shared" si="12"/>
        <v>0</v>
      </c>
      <c r="Z119" s="2">
        <f t="shared" si="13"/>
        <v>0</v>
      </c>
      <c r="AA119" s="2">
        <f t="shared" si="14"/>
        <v>0</v>
      </c>
      <c r="AB119" s="2"/>
      <c r="AC119" s="2"/>
      <c r="AD119" s="2" t="s">
        <v>29</v>
      </c>
    </row>
    <row r="120" spans="1:30" ht="26.25" customHeight="1" x14ac:dyDescent="0.25">
      <c r="A120" s="2" t="s">
        <v>25</v>
      </c>
      <c r="B120" s="2" t="s">
        <v>54</v>
      </c>
      <c r="C120" s="2" t="s">
        <v>57</v>
      </c>
      <c r="D120" s="2">
        <v>140005</v>
      </c>
      <c r="E120" s="2" t="s">
        <v>67</v>
      </c>
      <c r="F120" s="2">
        <v>2026</v>
      </c>
      <c r="G120" s="2">
        <v>8</v>
      </c>
      <c r="H120" s="2">
        <v>155</v>
      </c>
      <c r="I120" s="2">
        <f t="shared" ref="I120:I126" si="18">G120+I111</f>
        <v>24</v>
      </c>
      <c r="J120" s="2">
        <f t="shared" ref="J120:J135" si="19">H120+J111</f>
        <v>293</v>
      </c>
      <c r="K120" s="2">
        <v>0</v>
      </c>
      <c r="L120" s="2">
        <v>0</v>
      </c>
      <c r="M120" s="2">
        <v>25</v>
      </c>
      <c r="N120" s="2">
        <f t="shared" ref="N120:N145" si="20">M120+N111</f>
        <v>54</v>
      </c>
      <c r="O120" s="2">
        <v>0</v>
      </c>
      <c r="P120" s="2">
        <f t="shared" ref="P120:P145" si="21">O120+P111</f>
        <v>0</v>
      </c>
      <c r="Q120" s="2"/>
      <c r="R120" s="2"/>
      <c r="S120" s="2"/>
      <c r="T120" s="2"/>
      <c r="U120" s="2"/>
      <c r="V120" s="2"/>
      <c r="W120" s="7">
        <f t="shared" si="8"/>
        <v>8.191126279863481E-2</v>
      </c>
      <c r="X120" s="2">
        <f t="shared" si="11"/>
        <v>0</v>
      </c>
      <c r="Y120" s="2">
        <f t="shared" si="12"/>
        <v>0</v>
      </c>
      <c r="Z120" s="2">
        <f t="shared" si="13"/>
        <v>0</v>
      </c>
      <c r="AA120" s="2">
        <f t="shared" si="14"/>
        <v>0</v>
      </c>
      <c r="AB120" s="2"/>
      <c r="AC120" s="2"/>
      <c r="AD120" s="2" t="s">
        <v>29</v>
      </c>
    </row>
    <row r="121" spans="1:30" ht="26.25" customHeight="1" x14ac:dyDescent="0.25">
      <c r="A121" s="2" t="s">
        <v>25</v>
      </c>
      <c r="B121" s="2" t="s">
        <v>54</v>
      </c>
      <c r="C121" s="2" t="s">
        <v>58</v>
      </c>
      <c r="D121" s="2">
        <v>140015</v>
      </c>
      <c r="E121" s="2" t="s">
        <v>67</v>
      </c>
      <c r="F121" s="2">
        <v>2026</v>
      </c>
      <c r="G121" s="2">
        <v>24</v>
      </c>
      <c r="H121" s="2">
        <v>157</v>
      </c>
      <c r="I121" s="2">
        <f t="shared" si="18"/>
        <v>53</v>
      </c>
      <c r="J121" s="2">
        <f t="shared" si="19"/>
        <v>311</v>
      </c>
      <c r="K121" s="2">
        <v>0</v>
      </c>
      <c r="L121" s="2">
        <v>0</v>
      </c>
      <c r="M121" s="2">
        <v>36</v>
      </c>
      <c r="N121" s="2">
        <f t="shared" si="20"/>
        <v>67</v>
      </c>
      <c r="O121" s="2">
        <v>0</v>
      </c>
      <c r="P121" s="2">
        <f t="shared" si="21"/>
        <v>0</v>
      </c>
      <c r="Q121" s="2"/>
      <c r="R121" s="2"/>
      <c r="S121" s="2"/>
      <c r="T121" s="2"/>
      <c r="U121" s="2"/>
      <c r="V121" s="2"/>
      <c r="W121" s="7">
        <f t="shared" si="8"/>
        <v>0.17041800643086816</v>
      </c>
      <c r="X121" s="2">
        <f t="shared" si="11"/>
        <v>0</v>
      </c>
      <c r="Y121" s="2">
        <f t="shared" si="12"/>
        <v>0</v>
      </c>
      <c r="Z121" s="2">
        <f t="shared" si="13"/>
        <v>0</v>
      </c>
      <c r="AA121" s="2">
        <f t="shared" si="14"/>
        <v>0</v>
      </c>
      <c r="AB121" s="2"/>
      <c r="AC121" s="2"/>
      <c r="AD121" s="2" t="s">
        <v>29</v>
      </c>
    </row>
    <row r="122" spans="1:30" ht="26.25" customHeight="1" x14ac:dyDescent="0.25">
      <c r="A122" s="2" t="s">
        <v>25</v>
      </c>
      <c r="B122" s="2" t="s">
        <v>54</v>
      </c>
      <c r="C122" s="2" t="s">
        <v>59</v>
      </c>
      <c r="D122" s="2">
        <v>140017</v>
      </c>
      <c r="E122" s="2" t="s">
        <v>67</v>
      </c>
      <c r="F122" s="2">
        <v>2026</v>
      </c>
      <c r="G122" s="2">
        <v>24</v>
      </c>
      <c r="H122" s="2">
        <v>170</v>
      </c>
      <c r="I122" s="2">
        <f t="shared" si="18"/>
        <v>53</v>
      </c>
      <c r="J122" s="2">
        <f t="shared" si="19"/>
        <v>340</v>
      </c>
      <c r="K122" s="2">
        <v>0</v>
      </c>
      <c r="L122" s="2">
        <v>0</v>
      </c>
      <c r="M122" s="2">
        <v>20</v>
      </c>
      <c r="N122" s="2">
        <f t="shared" si="20"/>
        <v>43</v>
      </c>
      <c r="O122" s="2">
        <v>1</v>
      </c>
      <c r="P122" s="2">
        <f t="shared" si="21"/>
        <v>2</v>
      </c>
      <c r="Q122" s="2"/>
      <c r="R122" s="2"/>
      <c r="S122" s="2"/>
      <c r="T122" s="2"/>
      <c r="U122" s="2"/>
      <c r="V122" s="2"/>
      <c r="W122" s="7">
        <f t="shared" si="8"/>
        <v>0.15588235294117647</v>
      </c>
      <c r="X122" s="2">
        <f t="shared" si="11"/>
        <v>0</v>
      </c>
      <c r="Y122" s="2">
        <f t="shared" si="12"/>
        <v>0</v>
      </c>
      <c r="Z122" s="2">
        <f t="shared" si="13"/>
        <v>50</v>
      </c>
      <c r="AA122" s="2">
        <f t="shared" si="14"/>
        <v>46.511627906976742</v>
      </c>
      <c r="AB122" s="2"/>
      <c r="AC122" s="2"/>
      <c r="AD122" s="2" t="s">
        <v>29</v>
      </c>
    </row>
    <row r="123" spans="1:30" ht="26.25" customHeight="1" x14ac:dyDescent="0.25">
      <c r="A123" s="2" t="s">
        <v>25</v>
      </c>
      <c r="B123" s="2" t="s">
        <v>54</v>
      </c>
      <c r="C123" s="2" t="s">
        <v>60</v>
      </c>
      <c r="D123" s="2">
        <v>140030</v>
      </c>
      <c r="E123" s="2" t="s">
        <v>67</v>
      </c>
      <c r="F123" s="2">
        <v>2026</v>
      </c>
      <c r="G123" s="2">
        <v>22</v>
      </c>
      <c r="H123" s="2">
        <v>219</v>
      </c>
      <c r="I123" s="2">
        <f t="shared" si="18"/>
        <v>43</v>
      </c>
      <c r="J123" s="2">
        <f t="shared" si="19"/>
        <v>438</v>
      </c>
      <c r="K123" s="2">
        <v>0</v>
      </c>
      <c r="L123" s="2">
        <v>0</v>
      </c>
      <c r="M123" s="2">
        <v>22</v>
      </c>
      <c r="N123" s="2">
        <f t="shared" si="20"/>
        <v>43</v>
      </c>
      <c r="O123" s="2">
        <v>4</v>
      </c>
      <c r="P123" s="2">
        <f t="shared" si="21"/>
        <v>4</v>
      </c>
      <c r="Q123" s="2"/>
      <c r="R123" s="2"/>
      <c r="S123" s="2"/>
      <c r="T123" s="2"/>
      <c r="U123" s="2"/>
      <c r="V123" s="2"/>
      <c r="W123" s="7">
        <f t="shared" si="8"/>
        <v>9.8173515981735154E-2</v>
      </c>
      <c r="X123" s="2">
        <f t="shared" si="11"/>
        <v>0</v>
      </c>
      <c r="Y123" s="2">
        <f t="shared" si="12"/>
        <v>0</v>
      </c>
      <c r="Z123" s="2">
        <f t="shared" si="13"/>
        <v>181.81818181818181</v>
      </c>
      <c r="AA123" s="2">
        <f t="shared" si="14"/>
        <v>93.023255813953483</v>
      </c>
      <c r="AB123" s="2"/>
      <c r="AC123" s="2"/>
      <c r="AD123" s="2" t="s">
        <v>29</v>
      </c>
    </row>
    <row r="124" spans="1:30" ht="26.25" customHeight="1" x14ac:dyDescent="0.25">
      <c r="A124" s="2" t="s">
        <v>25</v>
      </c>
      <c r="B124" s="2" t="s">
        <v>54</v>
      </c>
      <c r="C124" s="2" t="s">
        <v>61</v>
      </c>
      <c r="D124" s="2">
        <v>140040</v>
      </c>
      <c r="E124" s="2" t="s">
        <v>67</v>
      </c>
      <c r="F124" s="2">
        <v>2026</v>
      </c>
      <c r="G124" s="2">
        <v>13</v>
      </c>
      <c r="H124" s="2">
        <v>48</v>
      </c>
      <c r="I124" s="2">
        <f t="shared" si="18"/>
        <v>52</v>
      </c>
      <c r="J124" s="2">
        <f t="shared" si="19"/>
        <v>109</v>
      </c>
      <c r="K124" s="2">
        <v>0</v>
      </c>
      <c r="L124" s="2">
        <v>0</v>
      </c>
      <c r="M124" s="2">
        <v>27</v>
      </c>
      <c r="N124" s="2">
        <f t="shared" si="20"/>
        <v>64</v>
      </c>
      <c r="O124" s="2">
        <v>1</v>
      </c>
      <c r="P124" s="2">
        <f t="shared" si="21"/>
        <v>1</v>
      </c>
      <c r="Q124" s="2"/>
      <c r="R124" s="2"/>
      <c r="S124" s="2"/>
      <c r="T124" s="2"/>
      <c r="U124" s="2"/>
      <c r="V124" s="2"/>
      <c r="W124" s="7">
        <f t="shared" si="8"/>
        <v>0.47706422018348627</v>
      </c>
      <c r="X124" s="2">
        <f t="shared" si="11"/>
        <v>0</v>
      </c>
      <c r="Y124" s="2">
        <f t="shared" si="12"/>
        <v>0</v>
      </c>
      <c r="Z124" s="2">
        <f t="shared" si="13"/>
        <v>37.037037037037038</v>
      </c>
      <c r="AA124" s="2">
        <f t="shared" si="14"/>
        <v>15.625</v>
      </c>
      <c r="AB124" s="2"/>
      <c r="AC124" s="2"/>
      <c r="AD124" s="2" t="s">
        <v>29</v>
      </c>
    </row>
    <row r="125" spans="1:30" ht="26.25" customHeight="1" x14ac:dyDescent="0.25">
      <c r="A125" s="2" t="s">
        <v>25</v>
      </c>
      <c r="B125" s="2" t="s">
        <v>54</v>
      </c>
      <c r="C125" s="2" t="s">
        <v>62</v>
      </c>
      <c r="D125" s="2">
        <v>140045</v>
      </c>
      <c r="E125" s="2" t="s">
        <v>67</v>
      </c>
      <c r="F125" s="2">
        <v>2026</v>
      </c>
      <c r="G125" s="2">
        <v>106</v>
      </c>
      <c r="H125" s="2">
        <v>230</v>
      </c>
      <c r="I125" s="2">
        <f t="shared" si="18"/>
        <v>262</v>
      </c>
      <c r="J125" s="2">
        <f t="shared" si="19"/>
        <v>466</v>
      </c>
      <c r="K125" s="2">
        <v>0</v>
      </c>
      <c r="L125" s="2">
        <v>0</v>
      </c>
      <c r="M125" s="2">
        <v>28</v>
      </c>
      <c r="N125" s="2">
        <f t="shared" si="20"/>
        <v>68</v>
      </c>
      <c r="O125" s="2">
        <v>1</v>
      </c>
      <c r="P125" s="2">
        <f t="shared" si="21"/>
        <v>3</v>
      </c>
      <c r="Q125" s="2"/>
      <c r="R125" s="2"/>
      <c r="S125" s="2"/>
      <c r="T125" s="2"/>
      <c r="U125" s="2"/>
      <c r="V125" s="2"/>
      <c r="W125" s="7">
        <f t="shared" si="8"/>
        <v>0.5622317596566524</v>
      </c>
      <c r="X125" s="2">
        <f t="shared" si="11"/>
        <v>0</v>
      </c>
      <c r="Y125" s="2">
        <f t="shared" si="12"/>
        <v>0</v>
      </c>
      <c r="Z125" s="2">
        <f t="shared" si="13"/>
        <v>35.714285714285715</v>
      </c>
      <c r="AA125" s="2">
        <f t="shared" si="14"/>
        <v>44.117647058823529</v>
      </c>
      <c r="AB125" s="2"/>
      <c r="AC125" s="2"/>
      <c r="AD125" s="2" t="s">
        <v>29</v>
      </c>
    </row>
    <row r="126" spans="1:30" ht="26.25" customHeight="1" x14ac:dyDescent="0.25">
      <c r="A126" s="2" t="s">
        <v>25</v>
      </c>
      <c r="B126" s="2" t="s">
        <v>54</v>
      </c>
      <c r="C126" s="2" t="s">
        <v>63</v>
      </c>
      <c r="D126" s="2">
        <v>140070</v>
      </c>
      <c r="E126" s="2" t="s">
        <v>67</v>
      </c>
      <c r="F126" s="2">
        <v>2026</v>
      </c>
      <c r="G126" s="2">
        <v>9</v>
      </c>
      <c r="H126" s="2">
        <v>26</v>
      </c>
      <c r="I126" s="2">
        <f t="shared" si="18"/>
        <v>31</v>
      </c>
      <c r="J126" s="2">
        <f t="shared" si="19"/>
        <v>62</v>
      </c>
      <c r="K126" s="2">
        <v>0</v>
      </c>
      <c r="L126" s="2">
        <v>0</v>
      </c>
      <c r="M126" s="2">
        <v>36</v>
      </c>
      <c r="N126" s="2">
        <f t="shared" si="20"/>
        <v>83</v>
      </c>
      <c r="O126" s="2">
        <v>0</v>
      </c>
      <c r="P126" s="2">
        <f t="shared" si="21"/>
        <v>0</v>
      </c>
      <c r="Q126" s="2"/>
      <c r="R126" s="2"/>
      <c r="S126" s="2"/>
      <c r="T126" s="2"/>
      <c r="U126" s="2"/>
      <c r="V126" s="2"/>
      <c r="W126" s="7">
        <f t="shared" si="8"/>
        <v>0.5</v>
      </c>
      <c r="X126" s="2">
        <f t="shared" si="11"/>
        <v>0</v>
      </c>
      <c r="Y126" s="2">
        <f t="shared" si="12"/>
        <v>0</v>
      </c>
      <c r="Z126" s="2">
        <f t="shared" si="13"/>
        <v>0</v>
      </c>
      <c r="AA126" s="2">
        <f t="shared" si="14"/>
        <v>0</v>
      </c>
      <c r="AB126" s="2"/>
      <c r="AC126" s="2"/>
      <c r="AD126" s="2" t="s">
        <v>29</v>
      </c>
    </row>
    <row r="127" spans="1:30" ht="26.25" customHeight="1" x14ac:dyDescent="0.25">
      <c r="A127" s="2" t="s">
        <v>25</v>
      </c>
      <c r="B127" s="2" t="s">
        <v>54</v>
      </c>
      <c r="C127" s="2" t="s">
        <v>64</v>
      </c>
      <c r="D127" s="2" t="s">
        <v>65</v>
      </c>
      <c r="E127" s="2" t="s">
        <v>67</v>
      </c>
      <c r="F127" s="2">
        <v>2026</v>
      </c>
      <c r="G127" s="2">
        <v>215</v>
      </c>
      <c r="H127" s="2">
        <v>1078</v>
      </c>
      <c r="I127" s="2">
        <f>G127+I118</f>
        <v>549</v>
      </c>
      <c r="J127" s="2">
        <f t="shared" si="19"/>
        <v>2157</v>
      </c>
      <c r="K127" s="2">
        <v>0</v>
      </c>
      <c r="L127" s="2">
        <v>0</v>
      </c>
      <c r="M127" s="2">
        <v>97</v>
      </c>
      <c r="N127" s="2">
        <f t="shared" si="20"/>
        <v>349</v>
      </c>
      <c r="O127" s="2">
        <v>4</v>
      </c>
      <c r="P127" s="2">
        <f t="shared" si="21"/>
        <v>7</v>
      </c>
      <c r="Q127" s="2"/>
      <c r="R127" s="2"/>
      <c r="S127" s="2"/>
      <c r="T127" s="2"/>
      <c r="U127" s="2"/>
      <c r="V127" s="2"/>
      <c r="W127" s="7">
        <f t="shared" si="8"/>
        <v>0.25452016689847012</v>
      </c>
      <c r="X127" s="2">
        <f t="shared" si="11"/>
        <v>0</v>
      </c>
      <c r="Y127" s="2">
        <f t="shared" si="12"/>
        <v>0</v>
      </c>
      <c r="Z127" s="2">
        <f t="shared" si="13"/>
        <v>41.237113402061858</v>
      </c>
      <c r="AA127" s="2">
        <f t="shared" si="14"/>
        <v>20.05730659025788</v>
      </c>
      <c r="AB127" s="2"/>
      <c r="AC127" s="2"/>
      <c r="AD127" s="2" t="s">
        <v>66</v>
      </c>
    </row>
    <row r="128" spans="1:30" ht="26.25" customHeight="1" x14ac:dyDescent="0.25">
      <c r="A128" s="2" t="s">
        <v>25</v>
      </c>
      <c r="B128" s="2" t="s">
        <v>54</v>
      </c>
      <c r="C128" s="2" t="s">
        <v>55</v>
      </c>
      <c r="D128" s="2">
        <v>140002</v>
      </c>
      <c r="E128" s="2" t="s">
        <v>30</v>
      </c>
      <c r="F128" s="2">
        <v>2026</v>
      </c>
      <c r="G128" s="2">
        <v>2</v>
      </c>
      <c r="H128" s="2">
        <v>77</v>
      </c>
      <c r="I128" s="2">
        <f t="shared" ref="I128:I136" si="22">G128+I119</f>
        <v>33</v>
      </c>
      <c r="J128" s="2">
        <f t="shared" si="19"/>
        <v>215</v>
      </c>
      <c r="K128" s="2">
        <v>0</v>
      </c>
      <c r="L128" s="2">
        <f>K128+L119</f>
        <v>0</v>
      </c>
      <c r="M128" s="2">
        <v>18</v>
      </c>
      <c r="N128" s="2">
        <f t="shared" si="20"/>
        <v>56</v>
      </c>
      <c r="O128" s="2">
        <v>0</v>
      </c>
      <c r="P128" s="2">
        <f t="shared" si="21"/>
        <v>0</v>
      </c>
      <c r="Q128" s="2"/>
      <c r="R128" s="2"/>
      <c r="S128" s="2"/>
      <c r="T128" s="2"/>
      <c r="U128" s="2"/>
      <c r="V128" s="2"/>
      <c r="W128" s="7">
        <f t="shared" si="8"/>
        <v>0.15348837209302327</v>
      </c>
      <c r="X128" s="2">
        <f t="shared" si="11"/>
        <v>0</v>
      </c>
      <c r="Y128" s="2">
        <f t="shared" si="12"/>
        <v>0</v>
      </c>
      <c r="Z128" s="2">
        <f t="shared" si="13"/>
        <v>0</v>
      </c>
      <c r="AA128" s="2">
        <f t="shared" si="14"/>
        <v>0</v>
      </c>
      <c r="AB128" s="2"/>
      <c r="AC128" s="2"/>
      <c r="AD128" s="2" t="s">
        <v>29</v>
      </c>
    </row>
    <row r="129" spans="1:30" ht="26.25" customHeight="1" x14ac:dyDescent="0.25">
      <c r="A129" s="2" t="s">
        <v>25</v>
      </c>
      <c r="B129" s="2" t="s">
        <v>54</v>
      </c>
      <c r="C129" s="2" t="s">
        <v>57</v>
      </c>
      <c r="D129" s="2">
        <v>140005</v>
      </c>
      <c r="E129" s="2" t="s">
        <v>30</v>
      </c>
      <c r="F129" s="2">
        <v>2026</v>
      </c>
      <c r="G129" s="2">
        <v>1</v>
      </c>
      <c r="H129" s="2">
        <v>168</v>
      </c>
      <c r="I129" s="2">
        <f t="shared" si="22"/>
        <v>25</v>
      </c>
      <c r="J129" s="2">
        <f t="shared" si="19"/>
        <v>461</v>
      </c>
      <c r="K129" s="2">
        <v>1</v>
      </c>
      <c r="L129" s="2">
        <f t="shared" ref="L129:L145" si="23">K129+L120</f>
        <v>1</v>
      </c>
      <c r="M129" s="2">
        <v>27</v>
      </c>
      <c r="N129" s="2">
        <f t="shared" si="20"/>
        <v>81</v>
      </c>
      <c r="O129" s="2">
        <v>3</v>
      </c>
      <c r="P129" s="2">
        <f t="shared" si="21"/>
        <v>3</v>
      </c>
      <c r="Q129" s="2"/>
      <c r="R129" s="2"/>
      <c r="S129" s="2"/>
      <c r="T129" s="2"/>
      <c r="U129" s="2"/>
      <c r="V129" s="2"/>
      <c r="W129" s="7">
        <f t="shared" si="8"/>
        <v>5.4229934924078092E-2</v>
      </c>
      <c r="X129" s="2">
        <f t="shared" si="11"/>
        <v>37.037037037037038</v>
      </c>
      <c r="Y129" s="2">
        <f t="shared" si="12"/>
        <v>12.345679012345679</v>
      </c>
      <c r="Z129" s="2">
        <f t="shared" si="13"/>
        <v>111.1111111111111</v>
      </c>
      <c r="AA129" s="2">
        <f t="shared" si="14"/>
        <v>37.037037037037038</v>
      </c>
      <c r="AB129" s="2"/>
      <c r="AC129" s="2"/>
      <c r="AD129" s="2" t="s">
        <v>29</v>
      </c>
    </row>
    <row r="130" spans="1:30" ht="26.25" customHeight="1" x14ac:dyDescent="0.25">
      <c r="A130" s="2" t="s">
        <v>25</v>
      </c>
      <c r="B130" s="2" t="s">
        <v>54</v>
      </c>
      <c r="C130" s="2" t="s">
        <v>58</v>
      </c>
      <c r="D130" s="2">
        <v>140015</v>
      </c>
      <c r="E130" s="2" t="s">
        <v>30</v>
      </c>
      <c r="F130" s="2">
        <v>2026</v>
      </c>
      <c r="G130" s="2">
        <v>6</v>
      </c>
      <c r="H130" s="2">
        <v>161</v>
      </c>
      <c r="I130" s="2">
        <f t="shared" si="22"/>
        <v>59</v>
      </c>
      <c r="J130" s="2">
        <f t="shared" si="19"/>
        <v>472</v>
      </c>
      <c r="K130" s="2">
        <v>1</v>
      </c>
      <c r="L130" s="2">
        <f t="shared" si="23"/>
        <v>1</v>
      </c>
      <c r="M130" s="2">
        <v>26</v>
      </c>
      <c r="N130" s="2">
        <f t="shared" si="20"/>
        <v>93</v>
      </c>
      <c r="O130" s="2">
        <v>3</v>
      </c>
      <c r="P130" s="2">
        <f t="shared" si="21"/>
        <v>3</v>
      </c>
      <c r="Q130" s="2"/>
      <c r="R130" s="2"/>
      <c r="S130" s="2"/>
      <c r="T130" s="2"/>
      <c r="U130" s="2"/>
      <c r="V130" s="2"/>
      <c r="W130" s="7">
        <f t="shared" si="8"/>
        <v>0.125</v>
      </c>
      <c r="X130" s="2">
        <f t="shared" si="11"/>
        <v>38.461538461538467</v>
      </c>
      <c r="Y130" s="2">
        <f t="shared" si="12"/>
        <v>10.752688172043012</v>
      </c>
      <c r="Z130" s="2">
        <f t="shared" si="13"/>
        <v>115.38461538461539</v>
      </c>
      <c r="AA130" s="2">
        <f t="shared" si="14"/>
        <v>32.258064516129032</v>
      </c>
      <c r="AB130" s="2"/>
      <c r="AC130" s="2"/>
      <c r="AD130" s="2" t="s">
        <v>29</v>
      </c>
    </row>
    <row r="131" spans="1:30" ht="26.25" customHeight="1" x14ac:dyDescent="0.25">
      <c r="A131" s="2" t="s">
        <v>25</v>
      </c>
      <c r="B131" s="2" t="s">
        <v>54</v>
      </c>
      <c r="C131" s="2" t="s">
        <v>59</v>
      </c>
      <c r="D131" s="2">
        <v>140017</v>
      </c>
      <c r="E131" s="2" t="s">
        <v>30</v>
      </c>
      <c r="F131" s="2">
        <v>2026</v>
      </c>
      <c r="G131" s="2">
        <v>5</v>
      </c>
      <c r="H131" s="2">
        <v>170</v>
      </c>
      <c r="I131" s="2">
        <f t="shared" si="22"/>
        <v>58</v>
      </c>
      <c r="J131" s="2">
        <f t="shared" si="19"/>
        <v>510</v>
      </c>
      <c r="K131" s="2">
        <v>0</v>
      </c>
      <c r="L131" s="2">
        <f t="shared" si="23"/>
        <v>0</v>
      </c>
      <c r="M131" s="2">
        <v>29</v>
      </c>
      <c r="N131" s="2">
        <f t="shared" si="20"/>
        <v>72</v>
      </c>
      <c r="O131" s="2">
        <v>0</v>
      </c>
      <c r="P131" s="2">
        <f t="shared" si="21"/>
        <v>2</v>
      </c>
      <c r="Q131" s="2"/>
      <c r="R131" s="2"/>
      <c r="S131" s="2"/>
      <c r="T131" s="2"/>
      <c r="U131" s="2"/>
      <c r="V131" s="2"/>
      <c r="W131" s="7">
        <f t="shared" si="8"/>
        <v>0.11372549019607843</v>
      </c>
      <c r="X131" s="2">
        <f t="shared" si="11"/>
        <v>0</v>
      </c>
      <c r="Y131" s="2">
        <f t="shared" si="12"/>
        <v>0</v>
      </c>
      <c r="Z131" s="2">
        <f t="shared" si="13"/>
        <v>0</v>
      </c>
      <c r="AA131" s="2">
        <f t="shared" si="14"/>
        <v>27.777777777777775</v>
      </c>
      <c r="AB131" s="2"/>
      <c r="AC131" s="2"/>
      <c r="AD131" s="2" t="s">
        <v>29</v>
      </c>
    </row>
    <row r="132" spans="1:30" ht="26.25" customHeight="1" x14ac:dyDescent="0.25">
      <c r="A132" s="2" t="s">
        <v>25</v>
      </c>
      <c r="B132" s="2" t="s">
        <v>54</v>
      </c>
      <c r="C132" s="2" t="s">
        <v>60</v>
      </c>
      <c r="D132" s="2">
        <v>140030</v>
      </c>
      <c r="E132" s="2" t="s">
        <v>30</v>
      </c>
      <c r="F132" s="2">
        <v>2026</v>
      </c>
      <c r="G132" s="2">
        <v>3</v>
      </c>
      <c r="H132" s="2">
        <v>225</v>
      </c>
      <c r="I132" s="2">
        <f t="shared" si="22"/>
        <v>46</v>
      </c>
      <c r="J132" s="2">
        <f t="shared" si="19"/>
        <v>663</v>
      </c>
      <c r="K132" s="2">
        <v>0</v>
      </c>
      <c r="L132" s="2">
        <f t="shared" si="23"/>
        <v>0</v>
      </c>
      <c r="M132" s="2">
        <v>18</v>
      </c>
      <c r="N132" s="2">
        <f t="shared" si="20"/>
        <v>61</v>
      </c>
      <c r="O132" s="2">
        <v>3</v>
      </c>
      <c r="P132" s="2">
        <f t="shared" si="21"/>
        <v>7</v>
      </c>
      <c r="Q132" s="2"/>
      <c r="R132" s="2"/>
      <c r="S132" s="2"/>
      <c r="T132" s="2"/>
      <c r="U132" s="2"/>
      <c r="V132" s="2"/>
      <c r="W132" s="7">
        <f t="shared" si="8"/>
        <v>6.9381598793363503E-2</v>
      </c>
      <c r="X132" s="2">
        <f t="shared" si="11"/>
        <v>0</v>
      </c>
      <c r="Y132" s="2">
        <f t="shared" si="12"/>
        <v>0</v>
      </c>
      <c r="Z132" s="2">
        <f t="shared" si="13"/>
        <v>166.66666666666666</v>
      </c>
      <c r="AA132" s="2">
        <f t="shared" si="14"/>
        <v>114.75409836065575</v>
      </c>
      <c r="AB132" s="2"/>
      <c r="AC132" s="2"/>
      <c r="AD132" s="2" t="s">
        <v>29</v>
      </c>
    </row>
    <row r="133" spans="1:30" ht="26.25" customHeight="1" x14ac:dyDescent="0.25">
      <c r="A133" s="2" t="s">
        <v>25</v>
      </c>
      <c r="B133" s="2" t="s">
        <v>54</v>
      </c>
      <c r="C133" s="2" t="s">
        <v>61</v>
      </c>
      <c r="D133" s="2">
        <v>140040</v>
      </c>
      <c r="E133" s="2" t="s">
        <v>30</v>
      </c>
      <c r="F133" s="2">
        <v>2026</v>
      </c>
      <c r="G133" s="2">
        <v>7</v>
      </c>
      <c r="H133" s="2">
        <v>173</v>
      </c>
      <c r="I133" s="2">
        <f t="shared" si="22"/>
        <v>59</v>
      </c>
      <c r="J133" s="2">
        <f t="shared" si="19"/>
        <v>282</v>
      </c>
      <c r="K133" s="2">
        <v>0</v>
      </c>
      <c r="L133" s="2">
        <f t="shared" si="23"/>
        <v>0</v>
      </c>
      <c r="M133" s="2">
        <v>35</v>
      </c>
      <c r="N133" s="2">
        <f t="shared" si="20"/>
        <v>99</v>
      </c>
      <c r="O133" s="2">
        <v>0</v>
      </c>
      <c r="P133" s="2">
        <f t="shared" si="21"/>
        <v>1</v>
      </c>
      <c r="Q133" s="2"/>
      <c r="R133" s="2"/>
      <c r="S133" s="2"/>
      <c r="T133" s="2"/>
      <c r="U133" s="2"/>
      <c r="V133" s="2"/>
      <c r="W133" s="7">
        <f t="shared" si="8"/>
        <v>0.20921985815602837</v>
      </c>
      <c r="X133" s="2">
        <f t="shared" si="11"/>
        <v>0</v>
      </c>
      <c r="Y133" s="2">
        <f t="shared" si="12"/>
        <v>0</v>
      </c>
      <c r="Z133" s="2">
        <f t="shared" si="13"/>
        <v>0</v>
      </c>
      <c r="AA133" s="2">
        <f t="shared" si="14"/>
        <v>10.101010101010102</v>
      </c>
      <c r="AB133" s="2"/>
      <c r="AC133" s="2"/>
      <c r="AD133" s="2" t="s">
        <v>29</v>
      </c>
    </row>
    <row r="134" spans="1:30" ht="26.25" customHeight="1" x14ac:dyDescent="0.25">
      <c r="A134" s="2" t="s">
        <v>25</v>
      </c>
      <c r="B134" s="2" t="s">
        <v>54</v>
      </c>
      <c r="C134" s="2" t="s">
        <v>62</v>
      </c>
      <c r="D134" s="2">
        <v>140045</v>
      </c>
      <c r="E134" s="2" t="s">
        <v>30</v>
      </c>
      <c r="F134" s="2">
        <v>2026</v>
      </c>
      <c r="G134" s="2">
        <v>27</v>
      </c>
      <c r="H134" s="2">
        <v>291</v>
      </c>
      <c r="I134" s="2">
        <f t="shared" si="22"/>
        <v>289</v>
      </c>
      <c r="J134" s="2">
        <f t="shared" si="19"/>
        <v>757</v>
      </c>
      <c r="K134" s="2">
        <v>0</v>
      </c>
      <c r="L134" s="2">
        <f t="shared" si="23"/>
        <v>0</v>
      </c>
      <c r="M134" s="2">
        <v>49</v>
      </c>
      <c r="N134" s="2">
        <f t="shared" si="20"/>
        <v>117</v>
      </c>
      <c r="O134" s="2">
        <v>1</v>
      </c>
      <c r="P134" s="2">
        <f t="shared" si="21"/>
        <v>4</v>
      </c>
      <c r="Q134" s="2"/>
      <c r="R134" s="2"/>
      <c r="S134" s="2"/>
      <c r="T134" s="2"/>
      <c r="U134" s="2"/>
      <c r="V134" s="2"/>
      <c r="W134" s="7">
        <f t="shared" si="8"/>
        <v>0.3817701453104359</v>
      </c>
      <c r="X134" s="2">
        <f t="shared" si="11"/>
        <v>0</v>
      </c>
      <c r="Y134" s="2">
        <f t="shared" si="12"/>
        <v>0</v>
      </c>
      <c r="Z134" s="2">
        <f t="shared" si="13"/>
        <v>20.408163265306122</v>
      </c>
      <c r="AA134" s="2">
        <f t="shared" si="14"/>
        <v>34.188034188034194</v>
      </c>
      <c r="AB134" s="2"/>
      <c r="AC134" s="2"/>
      <c r="AD134" s="2" t="s">
        <v>29</v>
      </c>
    </row>
    <row r="135" spans="1:30" ht="26.25" customHeight="1" x14ac:dyDescent="0.25">
      <c r="A135" s="2" t="s">
        <v>25</v>
      </c>
      <c r="B135" s="2" t="s">
        <v>54</v>
      </c>
      <c r="C135" s="2" t="s">
        <v>63</v>
      </c>
      <c r="D135" s="2">
        <v>140070</v>
      </c>
      <c r="E135" s="2" t="s">
        <v>30</v>
      </c>
      <c r="F135" s="2">
        <v>2026</v>
      </c>
      <c r="G135" s="2">
        <v>4</v>
      </c>
      <c r="H135" s="2">
        <v>19</v>
      </c>
      <c r="I135" s="2">
        <f t="shared" si="22"/>
        <v>35</v>
      </c>
      <c r="J135" s="2">
        <f t="shared" si="19"/>
        <v>81</v>
      </c>
      <c r="K135" s="2">
        <v>0</v>
      </c>
      <c r="L135" s="2">
        <f t="shared" si="23"/>
        <v>0</v>
      </c>
      <c r="M135" s="2">
        <v>51</v>
      </c>
      <c r="N135" s="2">
        <f t="shared" si="20"/>
        <v>134</v>
      </c>
      <c r="O135" s="2">
        <v>0</v>
      </c>
      <c r="P135" s="2">
        <f t="shared" si="21"/>
        <v>0</v>
      </c>
      <c r="Q135" s="2"/>
      <c r="R135" s="2"/>
      <c r="S135" s="2"/>
      <c r="T135" s="2"/>
      <c r="U135" s="2"/>
      <c r="V135" s="2"/>
      <c r="W135" s="7">
        <f t="shared" si="8"/>
        <v>0.43209876543209874</v>
      </c>
      <c r="X135" s="2">
        <f t="shared" si="11"/>
        <v>0</v>
      </c>
      <c r="Y135" s="2">
        <f t="shared" si="12"/>
        <v>0</v>
      </c>
      <c r="Z135" s="2">
        <f t="shared" si="13"/>
        <v>0</v>
      </c>
      <c r="AA135" s="2">
        <f t="shared" si="14"/>
        <v>0</v>
      </c>
      <c r="AB135" s="2"/>
      <c r="AC135" s="2"/>
      <c r="AD135" s="2" t="s">
        <v>29</v>
      </c>
    </row>
    <row r="136" spans="1:30" ht="26.25" customHeight="1" x14ac:dyDescent="0.25">
      <c r="A136" s="2" t="s">
        <v>25</v>
      </c>
      <c r="B136" s="2" t="s">
        <v>54</v>
      </c>
      <c r="C136" s="2" t="s">
        <v>64</v>
      </c>
      <c r="D136" s="2" t="s">
        <v>65</v>
      </c>
      <c r="E136" s="2" t="s">
        <v>30</v>
      </c>
      <c r="F136" s="2">
        <v>2026</v>
      </c>
      <c r="G136" s="2">
        <f>SUM(G128:G135)</f>
        <v>55</v>
      </c>
      <c r="H136" s="2">
        <f>SUM(H128:H135)</f>
        <v>1284</v>
      </c>
      <c r="I136" s="2">
        <f t="shared" si="22"/>
        <v>604</v>
      </c>
      <c r="J136" s="2">
        <f>H136+J127</f>
        <v>3441</v>
      </c>
      <c r="K136" s="2">
        <f>SUM(K128:K135)</f>
        <v>2</v>
      </c>
      <c r="L136" s="2">
        <f t="shared" si="23"/>
        <v>2</v>
      </c>
      <c r="M136" s="2">
        <f>SUM(M128:M135)</f>
        <v>253</v>
      </c>
      <c r="N136" s="2">
        <f t="shared" si="20"/>
        <v>602</v>
      </c>
      <c r="O136" s="2">
        <f>SUM(O128:O135)</f>
        <v>10</v>
      </c>
      <c r="P136" s="2">
        <f t="shared" si="21"/>
        <v>17</v>
      </c>
      <c r="Q136" s="2"/>
      <c r="R136" s="2"/>
      <c r="S136" s="2"/>
      <c r="T136" s="2"/>
      <c r="U136" s="2"/>
      <c r="V136" s="2"/>
      <c r="W136" s="7">
        <f t="shared" si="8"/>
        <v>0.17553036907875619</v>
      </c>
      <c r="X136" s="2">
        <f t="shared" si="11"/>
        <v>7.9051383399209483</v>
      </c>
      <c r="Y136" s="2">
        <f t="shared" si="12"/>
        <v>3.3222591362126246</v>
      </c>
      <c r="Z136" s="2">
        <f t="shared" si="13"/>
        <v>39.525691699604742</v>
      </c>
      <c r="AA136" s="2">
        <f t="shared" si="14"/>
        <v>28.239202657807311</v>
      </c>
      <c r="AB136" s="2"/>
      <c r="AC136" s="2"/>
      <c r="AD136" s="2" t="s">
        <v>66</v>
      </c>
    </row>
    <row r="137" spans="1:30" ht="26.25" customHeight="1" x14ac:dyDescent="0.25">
      <c r="A137" s="2" t="s">
        <v>25</v>
      </c>
      <c r="B137" s="2" t="s">
        <v>54</v>
      </c>
      <c r="C137" s="2" t="s">
        <v>55</v>
      </c>
      <c r="D137" s="2">
        <v>140002</v>
      </c>
      <c r="E137" s="2" t="s">
        <v>31</v>
      </c>
      <c r="F137" s="2">
        <v>2026</v>
      </c>
      <c r="G137" s="2"/>
      <c r="H137" s="2">
        <v>71</v>
      </c>
      <c r="I137" s="2"/>
      <c r="J137" s="2">
        <f t="shared" ref="J137:J145" si="24">H137+J128</f>
        <v>286</v>
      </c>
      <c r="K137" s="2">
        <v>0</v>
      </c>
      <c r="L137" s="2">
        <f t="shared" si="23"/>
        <v>0</v>
      </c>
      <c r="M137" s="2">
        <v>11</v>
      </c>
      <c r="N137" s="2">
        <f>M137+N128</f>
        <v>67</v>
      </c>
      <c r="O137" s="2">
        <v>0</v>
      </c>
      <c r="P137" s="2">
        <f t="shared" si="21"/>
        <v>0</v>
      </c>
      <c r="Q137" s="2"/>
      <c r="R137" s="2"/>
      <c r="S137" s="2"/>
      <c r="T137" s="2"/>
      <c r="U137" s="2"/>
      <c r="V137" s="2"/>
      <c r="W137" s="7">
        <f t="shared" si="8"/>
        <v>0</v>
      </c>
      <c r="X137" s="2">
        <f t="shared" si="11"/>
        <v>0</v>
      </c>
      <c r="Y137" s="2">
        <f t="shared" si="12"/>
        <v>0</v>
      </c>
      <c r="Z137" s="2">
        <f t="shared" si="13"/>
        <v>0</v>
      </c>
      <c r="AA137" s="2">
        <f t="shared" si="14"/>
        <v>0</v>
      </c>
      <c r="AB137" s="2"/>
      <c r="AC137" s="2"/>
      <c r="AD137" s="2" t="s">
        <v>29</v>
      </c>
    </row>
    <row r="138" spans="1:30" ht="26.25" customHeight="1" x14ac:dyDescent="0.25">
      <c r="A138" s="2" t="s">
        <v>25</v>
      </c>
      <c r="B138" s="2" t="s">
        <v>54</v>
      </c>
      <c r="C138" s="2" t="s">
        <v>57</v>
      </c>
      <c r="D138" s="2">
        <v>140005</v>
      </c>
      <c r="E138" s="2" t="s">
        <v>31</v>
      </c>
      <c r="F138" s="2">
        <v>2026</v>
      </c>
      <c r="G138" s="2"/>
      <c r="H138" s="2">
        <v>158</v>
      </c>
      <c r="I138" s="2"/>
      <c r="J138" s="2">
        <f t="shared" si="24"/>
        <v>619</v>
      </c>
      <c r="K138" s="2">
        <v>1</v>
      </c>
      <c r="L138" s="2">
        <f t="shared" si="23"/>
        <v>2</v>
      </c>
      <c r="M138" s="2">
        <v>13</v>
      </c>
      <c r="N138" s="2">
        <f t="shared" si="20"/>
        <v>94</v>
      </c>
      <c r="O138" s="2">
        <v>1</v>
      </c>
      <c r="P138" s="2">
        <f t="shared" si="21"/>
        <v>4</v>
      </c>
      <c r="Q138" s="2"/>
      <c r="R138" s="2"/>
      <c r="S138" s="2"/>
      <c r="T138" s="2"/>
      <c r="U138" s="2"/>
      <c r="V138" s="2"/>
      <c r="W138" s="7">
        <f t="shared" si="8"/>
        <v>0</v>
      </c>
      <c r="X138" s="2">
        <f t="shared" si="11"/>
        <v>76.923076923076934</v>
      </c>
      <c r="Y138" s="2">
        <f t="shared" si="12"/>
        <v>21.276595744680851</v>
      </c>
      <c r="Z138" s="2">
        <f t="shared" si="13"/>
        <v>76.923076923076934</v>
      </c>
      <c r="AA138" s="2">
        <f t="shared" si="14"/>
        <v>42.553191489361701</v>
      </c>
      <c r="AB138" s="2"/>
      <c r="AC138" s="2"/>
      <c r="AD138" s="2" t="s">
        <v>29</v>
      </c>
    </row>
    <row r="139" spans="1:30" ht="26.25" customHeight="1" x14ac:dyDescent="0.25">
      <c r="A139" s="2" t="s">
        <v>25</v>
      </c>
      <c r="B139" s="2" t="s">
        <v>54</v>
      </c>
      <c r="C139" s="2" t="s">
        <v>58</v>
      </c>
      <c r="D139" s="2">
        <v>140015</v>
      </c>
      <c r="E139" s="2" t="s">
        <v>31</v>
      </c>
      <c r="F139" s="2">
        <v>2026</v>
      </c>
      <c r="G139" s="2"/>
      <c r="H139" s="2">
        <v>171</v>
      </c>
      <c r="I139" s="2"/>
      <c r="J139" s="2">
        <f t="shared" si="24"/>
        <v>643</v>
      </c>
      <c r="K139" s="2">
        <v>0</v>
      </c>
      <c r="L139" s="2">
        <f t="shared" si="23"/>
        <v>1</v>
      </c>
      <c r="M139" s="2">
        <v>18</v>
      </c>
      <c r="N139" s="2">
        <f t="shared" si="20"/>
        <v>111</v>
      </c>
      <c r="O139" s="2">
        <v>0</v>
      </c>
      <c r="P139" s="2">
        <f t="shared" si="21"/>
        <v>3</v>
      </c>
      <c r="Q139" s="2"/>
      <c r="R139" s="2"/>
      <c r="S139" s="2"/>
      <c r="T139" s="2"/>
      <c r="U139" s="2"/>
      <c r="V139" s="2"/>
      <c r="W139" s="7">
        <f t="shared" si="8"/>
        <v>0</v>
      </c>
      <c r="X139" s="2">
        <f t="shared" si="11"/>
        <v>0</v>
      </c>
      <c r="Y139" s="2">
        <f t="shared" si="12"/>
        <v>9.0090090090090094</v>
      </c>
      <c r="Z139" s="2">
        <f t="shared" si="13"/>
        <v>0</v>
      </c>
      <c r="AA139" s="2">
        <f t="shared" si="14"/>
        <v>27.027027027027028</v>
      </c>
      <c r="AB139" s="2"/>
      <c r="AC139" s="2"/>
      <c r="AD139" s="2" t="s">
        <v>29</v>
      </c>
    </row>
    <row r="140" spans="1:30" ht="26.25" customHeight="1" x14ac:dyDescent="0.25">
      <c r="A140" s="2" t="s">
        <v>25</v>
      </c>
      <c r="B140" s="2" t="s">
        <v>54</v>
      </c>
      <c r="C140" s="2" t="s">
        <v>59</v>
      </c>
      <c r="D140" s="2">
        <v>140017</v>
      </c>
      <c r="E140" s="2" t="s">
        <v>31</v>
      </c>
      <c r="F140" s="2">
        <v>2026</v>
      </c>
      <c r="G140" s="2"/>
      <c r="H140" s="2">
        <v>162</v>
      </c>
      <c r="I140" s="2"/>
      <c r="J140" s="2">
        <f t="shared" si="24"/>
        <v>672</v>
      </c>
      <c r="K140" s="2">
        <v>0</v>
      </c>
      <c r="L140" s="2">
        <f t="shared" si="23"/>
        <v>0</v>
      </c>
      <c r="M140" s="2">
        <v>18</v>
      </c>
      <c r="N140" s="2">
        <f t="shared" si="20"/>
        <v>90</v>
      </c>
      <c r="O140" s="2">
        <v>2</v>
      </c>
      <c r="P140" s="2">
        <f t="shared" si="21"/>
        <v>4</v>
      </c>
      <c r="Q140" s="2"/>
      <c r="R140" s="2"/>
      <c r="S140" s="2"/>
      <c r="T140" s="2"/>
      <c r="U140" s="2"/>
      <c r="V140" s="2"/>
      <c r="W140" s="7">
        <f t="shared" si="8"/>
        <v>0</v>
      </c>
      <c r="X140" s="2">
        <f t="shared" si="11"/>
        <v>0</v>
      </c>
      <c r="Y140" s="2">
        <f t="shared" si="12"/>
        <v>0</v>
      </c>
      <c r="Z140" s="2">
        <f t="shared" si="13"/>
        <v>111.1111111111111</v>
      </c>
      <c r="AA140" s="2">
        <f t="shared" si="14"/>
        <v>44.444444444444443</v>
      </c>
      <c r="AB140" s="2"/>
      <c r="AC140" s="2"/>
      <c r="AD140" s="2" t="s">
        <v>29</v>
      </c>
    </row>
    <row r="141" spans="1:30" ht="26.25" customHeight="1" x14ac:dyDescent="0.25">
      <c r="A141" s="2" t="s">
        <v>25</v>
      </c>
      <c r="B141" s="2" t="s">
        <v>54</v>
      </c>
      <c r="C141" s="2" t="s">
        <v>60</v>
      </c>
      <c r="D141" s="2">
        <v>140030</v>
      </c>
      <c r="E141" s="2" t="s">
        <v>31</v>
      </c>
      <c r="F141" s="2">
        <v>2026</v>
      </c>
      <c r="G141" s="2"/>
      <c r="H141" s="2">
        <v>223</v>
      </c>
      <c r="I141" s="2"/>
      <c r="J141" s="2">
        <f t="shared" si="24"/>
        <v>886</v>
      </c>
      <c r="K141" s="2">
        <v>0</v>
      </c>
      <c r="L141" s="2">
        <f t="shared" si="23"/>
        <v>0</v>
      </c>
      <c r="M141" s="2">
        <v>18</v>
      </c>
      <c r="N141" s="2">
        <f t="shared" si="20"/>
        <v>79</v>
      </c>
      <c r="O141" s="2">
        <v>2</v>
      </c>
      <c r="P141" s="2">
        <f t="shared" si="21"/>
        <v>9</v>
      </c>
      <c r="Q141" s="2"/>
      <c r="R141" s="2"/>
      <c r="S141" s="2"/>
      <c r="T141" s="2"/>
      <c r="U141" s="2"/>
      <c r="V141" s="2"/>
      <c r="W141" s="7">
        <f t="shared" si="8"/>
        <v>0</v>
      </c>
      <c r="X141" s="2">
        <f t="shared" si="11"/>
        <v>0</v>
      </c>
      <c r="Y141" s="2">
        <f t="shared" si="12"/>
        <v>0</v>
      </c>
      <c r="Z141" s="2">
        <f t="shared" si="13"/>
        <v>111.1111111111111</v>
      </c>
      <c r="AA141" s="2">
        <f t="shared" si="14"/>
        <v>113.92405063291139</v>
      </c>
      <c r="AB141" s="2"/>
      <c r="AC141" s="2"/>
      <c r="AD141" s="2" t="s">
        <v>29</v>
      </c>
    </row>
    <row r="142" spans="1:30" ht="26.25" customHeight="1" x14ac:dyDescent="0.25">
      <c r="A142" s="2" t="s">
        <v>25</v>
      </c>
      <c r="B142" s="2" t="s">
        <v>54</v>
      </c>
      <c r="C142" s="2" t="s">
        <v>61</v>
      </c>
      <c r="D142" s="2">
        <v>140040</v>
      </c>
      <c r="E142" s="2" t="s">
        <v>31</v>
      </c>
      <c r="F142" s="2">
        <v>2026</v>
      </c>
      <c r="G142" s="2"/>
      <c r="H142" s="2">
        <v>172</v>
      </c>
      <c r="I142" s="2"/>
      <c r="J142" s="2">
        <f t="shared" si="24"/>
        <v>454</v>
      </c>
      <c r="K142" s="2">
        <v>0</v>
      </c>
      <c r="L142" s="2">
        <f t="shared" si="23"/>
        <v>0</v>
      </c>
      <c r="M142" s="2">
        <v>20</v>
      </c>
      <c r="N142" s="2">
        <f t="shared" si="20"/>
        <v>119</v>
      </c>
      <c r="O142" s="2">
        <v>0</v>
      </c>
      <c r="P142" s="2">
        <f t="shared" si="21"/>
        <v>1</v>
      </c>
      <c r="Q142" s="2"/>
      <c r="R142" s="2"/>
      <c r="S142" s="2"/>
      <c r="T142" s="2"/>
      <c r="U142" s="2"/>
      <c r="V142" s="2"/>
      <c r="W142" s="7">
        <f t="shared" si="8"/>
        <v>0</v>
      </c>
      <c r="X142" s="2">
        <f t="shared" si="11"/>
        <v>0</v>
      </c>
      <c r="Y142" s="2">
        <f t="shared" si="12"/>
        <v>0</v>
      </c>
      <c r="Z142" s="2">
        <f t="shared" si="13"/>
        <v>0</v>
      </c>
      <c r="AA142" s="2">
        <f t="shared" si="14"/>
        <v>8.4033613445378155</v>
      </c>
      <c r="AB142" s="2"/>
      <c r="AC142" s="2"/>
      <c r="AD142" s="2" t="s">
        <v>29</v>
      </c>
    </row>
    <row r="143" spans="1:30" ht="26.25" customHeight="1" x14ac:dyDescent="0.25">
      <c r="A143" s="2" t="s">
        <v>25</v>
      </c>
      <c r="B143" s="2" t="s">
        <v>54</v>
      </c>
      <c r="C143" s="2" t="s">
        <v>62</v>
      </c>
      <c r="D143" s="2">
        <v>140045</v>
      </c>
      <c r="E143" s="2" t="s">
        <v>31</v>
      </c>
      <c r="F143" s="2">
        <v>2026</v>
      </c>
      <c r="G143" s="2"/>
      <c r="H143" s="2">
        <v>291</v>
      </c>
      <c r="I143" s="2"/>
      <c r="J143" s="2">
        <f t="shared" si="24"/>
        <v>1048</v>
      </c>
      <c r="K143" s="2">
        <v>0</v>
      </c>
      <c r="L143" s="2">
        <f t="shared" si="23"/>
        <v>0</v>
      </c>
      <c r="M143" s="2">
        <v>21</v>
      </c>
      <c r="N143" s="2">
        <f t="shared" si="20"/>
        <v>138</v>
      </c>
      <c r="O143" s="2">
        <v>3</v>
      </c>
      <c r="P143" s="2">
        <f t="shared" si="21"/>
        <v>7</v>
      </c>
      <c r="Q143" s="2"/>
      <c r="R143" s="2"/>
      <c r="S143" s="2"/>
      <c r="T143" s="2"/>
      <c r="U143" s="2"/>
      <c r="V143" s="2"/>
      <c r="W143" s="7">
        <f t="shared" si="8"/>
        <v>0</v>
      </c>
      <c r="X143" s="2">
        <f t="shared" si="11"/>
        <v>0</v>
      </c>
      <c r="Y143" s="2">
        <f t="shared" si="12"/>
        <v>0</v>
      </c>
      <c r="Z143" s="2">
        <f t="shared" si="13"/>
        <v>142.85714285714286</v>
      </c>
      <c r="AA143" s="2">
        <f t="shared" si="14"/>
        <v>50.724637681159422</v>
      </c>
      <c r="AB143" s="2"/>
      <c r="AC143" s="2"/>
      <c r="AD143" s="2" t="s">
        <v>29</v>
      </c>
    </row>
    <row r="144" spans="1:30" ht="26.25" customHeight="1" x14ac:dyDescent="0.25">
      <c r="A144" s="2" t="s">
        <v>25</v>
      </c>
      <c r="B144" s="2" t="s">
        <v>54</v>
      </c>
      <c r="C144" s="2" t="s">
        <v>63</v>
      </c>
      <c r="D144" s="2">
        <v>140070</v>
      </c>
      <c r="E144" s="2" t="s">
        <v>31</v>
      </c>
      <c r="F144" s="2">
        <v>2026</v>
      </c>
      <c r="G144" s="2"/>
      <c r="H144" s="2">
        <v>115</v>
      </c>
      <c r="I144" s="2"/>
      <c r="J144" s="2">
        <f t="shared" si="24"/>
        <v>196</v>
      </c>
      <c r="K144" s="2">
        <v>0</v>
      </c>
      <c r="L144" s="2">
        <f t="shared" si="23"/>
        <v>0</v>
      </c>
      <c r="M144" s="2">
        <v>22</v>
      </c>
      <c r="N144" s="2">
        <f t="shared" si="20"/>
        <v>156</v>
      </c>
      <c r="O144" s="2">
        <v>0</v>
      </c>
      <c r="P144" s="2">
        <f t="shared" si="21"/>
        <v>0</v>
      </c>
      <c r="Q144" s="2"/>
      <c r="R144" s="2"/>
      <c r="S144" s="2"/>
      <c r="T144" s="2"/>
      <c r="U144" s="2"/>
      <c r="V144" s="2"/>
      <c r="W144" s="7">
        <f t="shared" si="8"/>
        <v>0</v>
      </c>
      <c r="X144" s="2">
        <f t="shared" si="11"/>
        <v>0</v>
      </c>
      <c r="Y144" s="2">
        <f t="shared" si="12"/>
        <v>0</v>
      </c>
      <c r="Z144" s="2">
        <f t="shared" si="13"/>
        <v>0</v>
      </c>
      <c r="AA144" s="2">
        <f t="shared" si="14"/>
        <v>0</v>
      </c>
      <c r="AB144" s="2"/>
      <c r="AC144" s="2"/>
      <c r="AD144" s="2" t="s">
        <v>29</v>
      </c>
    </row>
    <row r="145" spans="1:30" ht="26.25" customHeight="1" x14ac:dyDescent="0.25">
      <c r="A145" s="2" t="s">
        <v>25</v>
      </c>
      <c r="B145" s="2" t="s">
        <v>54</v>
      </c>
      <c r="C145" s="2" t="s">
        <v>64</v>
      </c>
      <c r="D145" s="2" t="s">
        <v>65</v>
      </c>
      <c r="E145" s="2" t="s">
        <v>31</v>
      </c>
      <c r="F145" s="2">
        <v>2026</v>
      </c>
      <c r="G145" s="2"/>
      <c r="H145" s="2">
        <f>SUM(H137:H144)</f>
        <v>1363</v>
      </c>
      <c r="I145" s="2"/>
      <c r="J145" s="2">
        <f t="shared" si="24"/>
        <v>4804</v>
      </c>
      <c r="K145" s="2">
        <f>SUM(K137:K144)</f>
        <v>1</v>
      </c>
      <c r="L145" s="2">
        <f t="shared" si="23"/>
        <v>3</v>
      </c>
      <c r="M145" s="2">
        <f>SUM(M137:M144)</f>
        <v>141</v>
      </c>
      <c r="N145" s="2">
        <f t="shared" si="20"/>
        <v>743</v>
      </c>
      <c r="O145" s="2">
        <f>SUM(O137:O144)</f>
        <v>8</v>
      </c>
      <c r="P145" s="2">
        <f t="shared" si="21"/>
        <v>25</v>
      </c>
      <c r="Q145" s="2"/>
      <c r="R145" s="2"/>
      <c r="S145" s="2"/>
      <c r="T145" s="2"/>
      <c r="U145" s="2"/>
      <c r="V145" s="2"/>
      <c r="W145" s="7">
        <f t="shared" si="8"/>
        <v>0</v>
      </c>
      <c r="X145" s="2">
        <f t="shared" si="11"/>
        <v>7.0921985815602833</v>
      </c>
      <c r="Y145" s="2">
        <f t="shared" si="12"/>
        <v>4.0376850605652761</v>
      </c>
      <c r="Z145" s="2">
        <f t="shared" si="13"/>
        <v>56.737588652482266</v>
      </c>
      <c r="AA145" s="2">
        <f t="shared" si="14"/>
        <v>33.647375504710638</v>
      </c>
      <c r="AB145" s="2"/>
      <c r="AC145" s="2"/>
      <c r="AD145" s="2" t="s">
        <v>66</v>
      </c>
    </row>
    <row r="146" spans="1:30" ht="26.25" customHeight="1" x14ac:dyDescent="0.25">
      <c r="A146" s="2" t="s">
        <v>25</v>
      </c>
      <c r="B146" s="2" t="s">
        <v>54</v>
      </c>
      <c r="C146" s="2" t="s">
        <v>55</v>
      </c>
      <c r="D146" s="2">
        <v>140002</v>
      </c>
      <c r="E146" s="2" t="s">
        <v>68</v>
      </c>
      <c r="F146" s="2">
        <v>2026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7"/>
      <c r="X146" s="2"/>
      <c r="Y146" s="2"/>
      <c r="Z146" s="2"/>
      <c r="AA146" s="2"/>
      <c r="AB146" s="2"/>
      <c r="AC146" s="2"/>
      <c r="AD146" s="2" t="s">
        <v>29</v>
      </c>
    </row>
    <row r="147" spans="1:30" ht="26.25" customHeight="1" x14ac:dyDescent="0.25">
      <c r="A147" s="2" t="s">
        <v>25</v>
      </c>
      <c r="B147" s="2" t="s">
        <v>54</v>
      </c>
      <c r="C147" s="2" t="s">
        <v>57</v>
      </c>
      <c r="D147" s="2">
        <v>140005</v>
      </c>
      <c r="E147" s="2" t="s">
        <v>68</v>
      </c>
      <c r="F147" s="2">
        <v>2026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7"/>
      <c r="X147" s="2"/>
      <c r="Y147" s="2"/>
      <c r="Z147" s="2"/>
      <c r="AA147" s="2"/>
      <c r="AB147" s="2"/>
      <c r="AC147" s="2"/>
      <c r="AD147" s="2" t="s">
        <v>29</v>
      </c>
    </row>
    <row r="148" spans="1:30" ht="26.25" customHeight="1" x14ac:dyDescent="0.25">
      <c r="A148" s="2" t="s">
        <v>25</v>
      </c>
      <c r="B148" s="2" t="s">
        <v>54</v>
      </c>
      <c r="C148" s="2" t="s">
        <v>58</v>
      </c>
      <c r="D148" s="2">
        <v>140015</v>
      </c>
      <c r="E148" s="2" t="s">
        <v>68</v>
      </c>
      <c r="F148" s="2">
        <v>2026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7"/>
      <c r="X148" s="2"/>
      <c r="Y148" s="2"/>
      <c r="Z148" s="2"/>
      <c r="AA148" s="2"/>
      <c r="AB148" s="2"/>
      <c r="AC148" s="2"/>
      <c r="AD148" s="2" t="s">
        <v>29</v>
      </c>
    </row>
    <row r="149" spans="1:30" ht="26.25" customHeight="1" x14ac:dyDescent="0.25">
      <c r="A149" s="2" t="s">
        <v>25</v>
      </c>
      <c r="B149" s="2" t="s">
        <v>54</v>
      </c>
      <c r="C149" s="2" t="s">
        <v>59</v>
      </c>
      <c r="D149" s="2">
        <v>140017</v>
      </c>
      <c r="E149" s="2" t="s">
        <v>32</v>
      </c>
      <c r="F149" s="2">
        <v>2026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7"/>
      <c r="X149" s="2"/>
      <c r="Y149" s="2"/>
      <c r="Z149" s="2"/>
      <c r="AA149" s="2"/>
      <c r="AB149" s="2"/>
      <c r="AC149" s="2"/>
      <c r="AD149" s="2" t="s">
        <v>29</v>
      </c>
    </row>
    <row r="150" spans="1:30" ht="26.25" customHeight="1" x14ac:dyDescent="0.25">
      <c r="A150" s="2" t="s">
        <v>25</v>
      </c>
      <c r="B150" s="2" t="s">
        <v>54</v>
      </c>
      <c r="C150" s="2" t="s">
        <v>60</v>
      </c>
      <c r="D150" s="2">
        <v>140030</v>
      </c>
      <c r="E150" s="2" t="s">
        <v>32</v>
      </c>
      <c r="F150" s="2">
        <v>2026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7"/>
      <c r="X150" s="2"/>
      <c r="Y150" s="2"/>
      <c r="Z150" s="2"/>
      <c r="AA150" s="2"/>
      <c r="AB150" s="2"/>
      <c r="AC150" s="2"/>
      <c r="AD150" s="2" t="s">
        <v>29</v>
      </c>
    </row>
    <row r="151" spans="1:30" ht="26.25" customHeight="1" x14ac:dyDescent="0.25">
      <c r="A151" s="2" t="s">
        <v>25</v>
      </c>
      <c r="B151" s="2" t="s">
        <v>54</v>
      </c>
      <c r="C151" s="2" t="s">
        <v>61</v>
      </c>
      <c r="D151" s="2">
        <v>140040</v>
      </c>
      <c r="E151" s="2" t="s">
        <v>32</v>
      </c>
      <c r="F151" s="2">
        <v>2026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7"/>
      <c r="X151" s="2"/>
      <c r="Y151" s="2"/>
      <c r="Z151" s="2"/>
      <c r="AA151" s="2"/>
      <c r="AB151" s="2"/>
      <c r="AC151" s="2"/>
      <c r="AD151" s="2" t="s">
        <v>29</v>
      </c>
    </row>
    <row r="152" spans="1:30" ht="26.25" customHeight="1" x14ac:dyDescent="0.25">
      <c r="A152" s="2" t="s">
        <v>25</v>
      </c>
      <c r="B152" s="2" t="s">
        <v>54</v>
      </c>
      <c r="C152" s="2" t="s">
        <v>62</v>
      </c>
      <c r="D152" s="2">
        <v>140045</v>
      </c>
      <c r="E152" s="2" t="s">
        <v>32</v>
      </c>
      <c r="F152" s="2">
        <v>2026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7"/>
      <c r="X152" s="2"/>
      <c r="Y152" s="2"/>
      <c r="Z152" s="2"/>
      <c r="AA152" s="2"/>
      <c r="AB152" s="2"/>
      <c r="AC152" s="2"/>
      <c r="AD152" s="2" t="s">
        <v>29</v>
      </c>
    </row>
    <row r="153" spans="1:30" ht="26.25" customHeight="1" x14ac:dyDescent="0.25">
      <c r="A153" s="2" t="s">
        <v>25</v>
      </c>
      <c r="B153" s="2" t="s">
        <v>54</v>
      </c>
      <c r="C153" s="2" t="s">
        <v>63</v>
      </c>
      <c r="D153" s="2">
        <v>140070</v>
      </c>
      <c r="E153" s="2" t="s">
        <v>32</v>
      </c>
      <c r="F153" s="2">
        <v>2026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7"/>
      <c r="X153" s="2"/>
      <c r="Y153" s="2"/>
      <c r="Z153" s="2"/>
      <c r="AA153" s="2"/>
      <c r="AB153" s="2"/>
      <c r="AC153" s="2"/>
      <c r="AD153" s="2" t="s">
        <v>29</v>
      </c>
    </row>
    <row r="154" spans="1:30" ht="26.25" customHeight="1" x14ac:dyDescent="0.25">
      <c r="A154" s="2" t="s">
        <v>25</v>
      </c>
      <c r="B154" s="2" t="s">
        <v>54</v>
      </c>
      <c r="C154" s="2" t="s">
        <v>64</v>
      </c>
      <c r="D154" s="2" t="s">
        <v>65</v>
      </c>
      <c r="E154" s="2" t="s">
        <v>32</v>
      </c>
      <c r="F154" s="2">
        <v>2026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7"/>
      <c r="X154" s="2"/>
      <c r="Y154" s="2"/>
      <c r="Z154" s="2"/>
      <c r="AA154" s="2"/>
      <c r="AB154" s="2"/>
      <c r="AC154" s="2"/>
      <c r="AD154" s="2" t="s">
        <v>66</v>
      </c>
    </row>
    <row r="155" spans="1:30" ht="26.25" customHeight="1" x14ac:dyDescent="0.25">
      <c r="A155" s="2" t="s">
        <v>25</v>
      </c>
      <c r="B155" s="2" t="s">
        <v>54</v>
      </c>
      <c r="C155" s="2" t="s">
        <v>55</v>
      </c>
      <c r="D155" s="2">
        <v>140002</v>
      </c>
      <c r="E155" s="2" t="s">
        <v>33</v>
      </c>
      <c r="F155" s="2">
        <v>2026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7"/>
      <c r="X155" s="2"/>
      <c r="Y155" s="2"/>
      <c r="Z155" s="2"/>
      <c r="AA155" s="2"/>
      <c r="AB155" s="2"/>
      <c r="AC155" s="2"/>
      <c r="AD155" s="2" t="s">
        <v>29</v>
      </c>
    </row>
    <row r="156" spans="1:30" ht="26.25" customHeight="1" x14ac:dyDescent="0.25">
      <c r="A156" s="2" t="s">
        <v>25</v>
      </c>
      <c r="B156" s="2" t="s">
        <v>54</v>
      </c>
      <c r="C156" s="2" t="s">
        <v>57</v>
      </c>
      <c r="D156" s="2">
        <v>140005</v>
      </c>
      <c r="E156" s="2" t="s">
        <v>33</v>
      </c>
      <c r="F156" s="2">
        <v>2026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7"/>
      <c r="X156" s="2"/>
      <c r="Y156" s="2"/>
      <c r="Z156" s="2"/>
      <c r="AA156" s="2"/>
      <c r="AB156" s="2"/>
      <c r="AC156" s="2"/>
      <c r="AD156" s="2" t="s">
        <v>29</v>
      </c>
    </row>
    <row r="157" spans="1:30" ht="26.25" customHeight="1" x14ac:dyDescent="0.25">
      <c r="A157" s="2" t="s">
        <v>25</v>
      </c>
      <c r="B157" s="2" t="s">
        <v>54</v>
      </c>
      <c r="C157" s="2" t="s">
        <v>58</v>
      </c>
      <c r="D157" s="2">
        <v>140015</v>
      </c>
      <c r="E157" s="2" t="s">
        <v>33</v>
      </c>
      <c r="F157" s="2">
        <v>2026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7"/>
      <c r="X157" s="2"/>
      <c r="Y157" s="2"/>
      <c r="Z157" s="2"/>
      <c r="AA157" s="2"/>
      <c r="AB157" s="2"/>
      <c r="AC157" s="2"/>
      <c r="AD157" s="2" t="s">
        <v>29</v>
      </c>
    </row>
    <row r="158" spans="1:30" ht="26.25" customHeight="1" x14ac:dyDescent="0.25">
      <c r="A158" s="2" t="s">
        <v>25</v>
      </c>
      <c r="B158" s="2" t="s">
        <v>54</v>
      </c>
      <c r="C158" s="2" t="s">
        <v>59</v>
      </c>
      <c r="D158" s="2">
        <v>140017</v>
      </c>
      <c r="E158" s="2" t="s">
        <v>33</v>
      </c>
      <c r="F158" s="2">
        <v>2026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7"/>
      <c r="X158" s="2"/>
      <c r="Y158" s="2"/>
      <c r="Z158" s="2"/>
      <c r="AA158" s="2"/>
      <c r="AB158" s="2"/>
      <c r="AC158" s="2"/>
      <c r="AD158" s="2" t="s">
        <v>29</v>
      </c>
    </row>
    <row r="159" spans="1:30" ht="26.25" customHeight="1" x14ac:dyDescent="0.25">
      <c r="A159" s="2" t="s">
        <v>25</v>
      </c>
      <c r="B159" s="2" t="s">
        <v>54</v>
      </c>
      <c r="C159" s="2" t="s">
        <v>60</v>
      </c>
      <c r="D159" s="2">
        <v>140030</v>
      </c>
      <c r="E159" s="2" t="s">
        <v>33</v>
      </c>
      <c r="F159" s="2">
        <v>2026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7"/>
      <c r="X159" s="2"/>
      <c r="Y159" s="2"/>
      <c r="Z159" s="2"/>
      <c r="AA159" s="2"/>
      <c r="AB159" s="2"/>
      <c r="AC159" s="2"/>
      <c r="AD159" s="2" t="s">
        <v>29</v>
      </c>
    </row>
    <row r="160" spans="1:30" ht="26.25" customHeight="1" x14ac:dyDescent="0.25">
      <c r="A160" s="2" t="s">
        <v>25</v>
      </c>
      <c r="B160" s="2" t="s">
        <v>54</v>
      </c>
      <c r="C160" s="2" t="s">
        <v>61</v>
      </c>
      <c r="D160" s="2">
        <v>140040</v>
      </c>
      <c r="E160" s="2" t="s">
        <v>33</v>
      </c>
      <c r="F160" s="2">
        <v>2026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7"/>
      <c r="X160" s="2"/>
      <c r="Y160" s="2"/>
      <c r="Z160" s="2"/>
      <c r="AA160" s="2"/>
      <c r="AB160" s="2"/>
      <c r="AC160" s="2"/>
      <c r="AD160" s="2" t="s">
        <v>29</v>
      </c>
    </row>
    <row r="161" spans="1:30" ht="26.25" customHeight="1" x14ac:dyDescent="0.25">
      <c r="A161" s="2" t="s">
        <v>25</v>
      </c>
      <c r="B161" s="2" t="s">
        <v>54</v>
      </c>
      <c r="C161" s="2" t="s">
        <v>62</v>
      </c>
      <c r="D161" s="2">
        <v>140045</v>
      </c>
      <c r="E161" s="2" t="s">
        <v>33</v>
      </c>
      <c r="F161" s="2">
        <v>2026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7"/>
      <c r="X161" s="2"/>
      <c r="Y161" s="2"/>
      <c r="Z161" s="2"/>
      <c r="AA161" s="2"/>
      <c r="AB161" s="2"/>
      <c r="AC161" s="2"/>
      <c r="AD161" s="2" t="s">
        <v>29</v>
      </c>
    </row>
    <row r="162" spans="1:30" ht="26.25" customHeight="1" x14ac:dyDescent="0.25">
      <c r="A162" s="2" t="s">
        <v>25</v>
      </c>
      <c r="B162" s="2" t="s">
        <v>54</v>
      </c>
      <c r="C162" s="2" t="s">
        <v>63</v>
      </c>
      <c r="D162" s="2">
        <v>140070</v>
      </c>
      <c r="E162" s="2" t="s">
        <v>33</v>
      </c>
      <c r="F162" s="2">
        <v>2026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7"/>
      <c r="X162" s="2"/>
      <c r="Y162" s="2"/>
      <c r="Z162" s="2"/>
      <c r="AA162" s="2"/>
      <c r="AB162" s="2"/>
      <c r="AC162" s="2"/>
      <c r="AD162" s="2" t="s">
        <v>29</v>
      </c>
    </row>
    <row r="163" spans="1:30" ht="26.25" customHeight="1" x14ac:dyDescent="0.25">
      <c r="A163" s="2" t="s">
        <v>25</v>
      </c>
      <c r="B163" s="2" t="s">
        <v>54</v>
      </c>
      <c r="C163" s="2" t="s">
        <v>64</v>
      </c>
      <c r="D163" s="2" t="s">
        <v>65</v>
      </c>
      <c r="E163" s="2" t="s">
        <v>33</v>
      </c>
      <c r="F163" s="2">
        <v>2026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7"/>
      <c r="X163" s="2"/>
      <c r="Y163" s="2"/>
      <c r="Z163" s="2"/>
      <c r="AA163" s="2"/>
      <c r="AB163" s="2"/>
      <c r="AC163" s="2"/>
      <c r="AD163" s="2" t="s">
        <v>66</v>
      </c>
    </row>
    <row r="164" spans="1:30" ht="26.25" customHeight="1" x14ac:dyDescent="0.25">
      <c r="A164" s="2" t="s">
        <v>25</v>
      </c>
      <c r="B164" s="2" t="s">
        <v>54</v>
      </c>
      <c r="C164" s="2" t="s">
        <v>55</v>
      </c>
      <c r="D164" s="2">
        <v>140002</v>
      </c>
      <c r="E164" s="2" t="s">
        <v>69</v>
      </c>
      <c r="F164" s="2">
        <v>2026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7"/>
      <c r="X164" s="2"/>
      <c r="Y164" s="2"/>
      <c r="Z164" s="2"/>
      <c r="AA164" s="2"/>
      <c r="AB164" s="2"/>
      <c r="AC164" s="2"/>
      <c r="AD164" s="2" t="s">
        <v>29</v>
      </c>
    </row>
    <row r="165" spans="1:30" ht="26.25" customHeight="1" x14ac:dyDescent="0.25">
      <c r="A165" s="2" t="s">
        <v>25</v>
      </c>
      <c r="B165" s="2" t="s">
        <v>54</v>
      </c>
      <c r="C165" s="2" t="s">
        <v>57</v>
      </c>
      <c r="D165" s="2">
        <v>140005</v>
      </c>
      <c r="E165" s="2" t="s">
        <v>69</v>
      </c>
      <c r="F165" s="2">
        <v>2026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7"/>
      <c r="X165" s="2"/>
      <c r="Y165" s="2"/>
      <c r="Z165" s="2"/>
      <c r="AA165" s="2"/>
      <c r="AB165" s="2"/>
      <c r="AC165" s="2"/>
      <c r="AD165" s="2" t="s">
        <v>29</v>
      </c>
    </row>
    <row r="166" spans="1:30" ht="26.25" customHeight="1" x14ac:dyDescent="0.25">
      <c r="A166" s="2" t="s">
        <v>25</v>
      </c>
      <c r="B166" s="2" t="s">
        <v>54</v>
      </c>
      <c r="C166" s="2" t="s">
        <v>58</v>
      </c>
      <c r="D166" s="2">
        <v>140015</v>
      </c>
      <c r="E166" s="2" t="s">
        <v>69</v>
      </c>
      <c r="F166" s="2">
        <v>2026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7"/>
      <c r="X166" s="2"/>
      <c r="Y166" s="2"/>
      <c r="Z166" s="2"/>
      <c r="AA166" s="2"/>
      <c r="AB166" s="2"/>
      <c r="AC166" s="2"/>
      <c r="AD166" s="2" t="s">
        <v>29</v>
      </c>
    </row>
    <row r="167" spans="1:30" ht="26.25" customHeight="1" x14ac:dyDescent="0.25">
      <c r="A167" s="2" t="s">
        <v>25</v>
      </c>
      <c r="B167" s="2" t="s">
        <v>54</v>
      </c>
      <c r="C167" s="2" t="s">
        <v>59</v>
      </c>
      <c r="D167" s="2">
        <v>140017</v>
      </c>
      <c r="E167" s="2" t="s">
        <v>69</v>
      </c>
      <c r="F167" s="2">
        <v>2026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7"/>
      <c r="X167" s="2"/>
      <c r="Y167" s="2"/>
      <c r="Z167" s="2"/>
      <c r="AA167" s="2"/>
      <c r="AB167" s="2"/>
      <c r="AC167" s="2"/>
      <c r="AD167" s="2" t="s">
        <v>29</v>
      </c>
    </row>
    <row r="168" spans="1:30" ht="26.25" customHeight="1" x14ac:dyDescent="0.25">
      <c r="A168" s="2" t="s">
        <v>25</v>
      </c>
      <c r="B168" s="2" t="s">
        <v>54</v>
      </c>
      <c r="C168" s="2" t="s">
        <v>60</v>
      </c>
      <c r="D168" s="2">
        <v>140030</v>
      </c>
      <c r="E168" s="2" t="s">
        <v>69</v>
      </c>
      <c r="F168" s="2">
        <v>2026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7"/>
      <c r="X168" s="2"/>
      <c r="Y168" s="2"/>
      <c r="Z168" s="2"/>
      <c r="AA168" s="2"/>
      <c r="AB168" s="2"/>
      <c r="AC168" s="2"/>
      <c r="AD168" s="2" t="s">
        <v>29</v>
      </c>
    </row>
    <row r="169" spans="1:30" ht="26.25" customHeight="1" x14ac:dyDescent="0.25">
      <c r="A169" s="2" t="s">
        <v>25</v>
      </c>
      <c r="B169" s="2" t="s">
        <v>54</v>
      </c>
      <c r="C169" s="2" t="s">
        <v>61</v>
      </c>
      <c r="D169" s="2">
        <v>140040</v>
      </c>
      <c r="E169" s="2" t="s">
        <v>69</v>
      </c>
      <c r="F169" s="2">
        <v>2026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7"/>
      <c r="X169" s="2"/>
      <c r="Y169" s="2"/>
      <c r="Z169" s="2"/>
      <c r="AA169" s="2"/>
      <c r="AB169" s="2"/>
      <c r="AC169" s="2"/>
      <c r="AD169" s="2" t="s">
        <v>29</v>
      </c>
    </row>
    <row r="170" spans="1:30" ht="26.25" customHeight="1" x14ac:dyDescent="0.25">
      <c r="A170" s="2" t="s">
        <v>25</v>
      </c>
      <c r="B170" s="2" t="s">
        <v>54</v>
      </c>
      <c r="C170" s="2" t="s">
        <v>62</v>
      </c>
      <c r="D170" s="2">
        <v>140045</v>
      </c>
      <c r="E170" s="2" t="s">
        <v>69</v>
      </c>
      <c r="F170" s="2">
        <v>2026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7"/>
      <c r="X170" s="2"/>
      <c r="Y170" s="2"/>
      <c r="Z170" s="2"/>
      <c r="AA170" s="2"/>
      <c r="AB170" s="2"/>
      <c r="AC170" s="2"/>
      <c r="AD170" s="2" t="s">
        <v>29</v>
      </c>
    </row>
    <row r="171" spans="1:30" ht="26.25" customHeight="1" x14ac:dyDescent="0.25">
      <c r="A171" s="2" t="s">
        <v>25</v>
      </c>
      <c r="B171" s="2" t="s">
        <v>54</v>
      </c>
      <c r="C171" s="2" t="s">
        <v>63</v>
      </c>
      <c r="D171" s="2">
        <v>140070</v>
      </c>
      <c r="E171" s="2" t="s">
        <v>69</v>
      </c>
      <c r="F171" s="2">
        <v>2026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7"/>
      <c r="X171" s="2"/>
      <c r="Y171" s="2"/>
      <c r="Z171" s="2"/>
      <c r="AA171" s="2"/>
      <c r="AB171" s="2"/>
      <c r="AC171" s="2"/>
      <c r="AD171" s="2" t="s">
        <v>29</v>
      </c>
    </row>
    <row r="172" spans="1:30" ht="26.25" customHeight="1" x14ac:dyDescent="0.25">
      <c r="A172" s="2" t="s">
        <v>25</v>
      </c>
      <c r="B172" s="2" t="s">
        <v>54</v>
      </c>
      <c r="C172" s="2" t="s">
        <v>64</v>
      </c>
      <c r="D172" s="2" t="s">
        <v>65</v>
      </c>
      <c r="E172" s="2" t="s">
        <v>69</v>
      </c>
      <c r="F172" s="2">
        <v>2026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7"/>
      <c r="X172" s="2"/>
      <c r="Y172" s="2"/>
      <c r="Z172" s="2"/>
      <c r="AA172" s="2"/>
      <c r="AB172" s="2"/>
      <c r="AC172" s="2"/>
      <c r="AD172" s="2" t="s">
        <v>66</v>
      </c>
    </row>
    <row r="173" spans="1:30" ht="26.25" customHeight="1" x14ac:dyDescent="0.25">
      <c r="A173" s="2" t="s">
        <v>25</v>
      </c>
      <c r="B173" s="2" t="s">
        <v>54</v>
      </c>
      <c r="C173" s="2" t="s">
        <v>55</v>
      </c>
      <c r="D173" s="2">
        <v>140002</v>
      </c>
      <c r="E173" s="2" t="s">
        <v>70</v>
      </c>
      <c r="F173" s="2">
        <v>2026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7"/>
      <c r="X173" s="2"/>
      <c r="Y173" s="2"/>
      <c r="Z173" s="2"/>
      <c r="AA173" s="2"/>
      <c r="AB173" s="2"/>
      <c r="AC173" s="2"/>
      <c r="AD173" s="2" t="s">
        <v>29</v>
      </c>
    </row>
    <row r="174" spans="1:30" ht="26.25" customHeight="1" x14ac:dyDescent="0.25">
      <c r="A174" s="2" t="s">
        <v>25</v>
      </c>
      <c r="B174" s="2" t="s">
        <v>54</v>
      </c>
      <c r="C174" s="2" t="s">
        <v>57</v>
      </c>
      <c r="D174" s="2">
        <v>140005</v>
      </c>
      <c r="E174" s="2" t="s">
        <v>70</v>
      </c>
      <c r="F174" s="2">
        <v>2026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7"/>
      <c r="X174" s="2"/>
      <c r="Y174" s="2"/>
      <c r="Z174" s="2"/>
      <c r="AA174" s="2"/>
      <c r="AB174" s="2"/>
      <c r="AC174" s="2"/>
      <c r="AD174" s="2" t="s">
        <v>29</v>
      </c>
    </row>
    <row r="175" spans="1:30" ht="26.25" customHeight="1" x14ac:dyDescent="0.25">
      <c r="A175" s="2" t="s">
        <v>25</v>
      </c>
      <c r="B175" s="2" t="s">
        <v>54</v>
      </c>
      <c r="C175" s="2" t="s">
        <v>58</v>
      </c>
      <c r="D175" s="2">
        <v>140015</v>
      </c>
      <c r="E175" s="2" t="s">
        <v>70</v>
      </c>
      <c r="F175" s="2">
        <v>2026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7"/>
      <c r="X175" s="2"/>
      <c r="Y175" s="2"/>
      <c r="Z175" s="2"/>
      <c r="AA175" s="2"/>
      <c r="AB175" s="2"/>
      <c r="AC175" s="2"/>
      <c r="AD175" s="2" t="s">
        <v>29</v>
      </c>
    </row>
    <row r="176" spans="1:30" ht="26.25" customHeight="1" x14ac:dyDescent="0.25">
      <c r="A176" s="2" t="s">
        <v>25</v>
      </c>
      <c r="B176" s="2" t="s">
        <v>54</v>
      </c>
      <c r="C176" s="2" t="s">
        <v>59</v>
      </c>
      <c r="D176" s="2">
        <v>140017</v>
      </c>
      <c r="E176" s="2" t="s">
        <v>70</v>
      </c>
      <c r="F176" s="2">
        <v>2026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7"/>
      <c r="X176" s="2"/>
      <c r="Y176" s="2"/>
      <c r="Z176" s="2"/>
      <c r="AA176" s="2"/>
      <c r="AB176" s="2"/>
      <c r="AC176" s="2"/>
      <c r="AD176" s="2" t="s">
        <v>29</v>
      </c>
    </row>
    <row r="177" spans="1:30" ht="26.25" customHeight="1" x14ac:dyDescent="0.25">
      <c r="A177" s="2" t="s">
        <v>25</v>
      </c>
      <c r="B177" s="2" t="s">
        <v>54</v>
      </c>
      <c r="C177" s="2" t="s">
        <v>60</v>
      </c>
      <c r="D177" s="2">
        <v>140030</v>
      </c>
      <c r="E177" s="2" t="s">
        <v>70</v>
      </c>
      <c r="F177" s="2">
        <v>2026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7"/>
      <c r="X177" s="2"/>
      <c r="Y177" s="2"/>
      <c r="Z177" s="2"/>
      <c r="AA177" s="2"/>
      <c r="AB177" s="2"/>
      <c r="AC177" s="2"/>
      <c r="AD177" s="2" t="s">
        <v>29</v>
      </c>
    </row>
    <row r="178" spans="1:30" ht="26.25" customHeight="1" x14ac:dyDescent="0.25">
      <c r="A178" s="2" t="s">
        <v>25</v>
      </c>
      <c r="B178" s="2" t="s">
        <v>54</v>
      </c>
      <c r="C178" s="2" t="s">
        <v>61</v>
      </c>
      <c r="D178" s="2">
        <v>140040</v>
      </c>
      <c r="E178" s="2" t="s">
        <v>70</v>
      </c>
      <c r="F178" s="2">
        <v>2026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7"/>
      <c r="X178" s="2"/>
      <c r="Y178" s="2"/>
      <c r="Z178" s="2"/>
      <c r="AA178" s="2"/>
      <c r="AB178" s="2"/>
      <c r="AC178" s="2"/>
      <c r="AD178" s="2" t="s">
        <v>29</v>
      </c>
    </row>
    <row r="179" spans="1:30" ht="26.25" customHeight="1" x14ac:dyDescent="0.25">
      <c r="A179" s="2" t="s">
        <v>25</v>
      </c>
      <c r="B179" s="2" t="s">
        <v>54</v>
      </c>
      <c r="C179" s="2" t="s">
        <v>62</v>
      </c>
      <c r="D179" s="2">
        <v>140045</v>
      </c>
      <c r="E179" s="2" t="s">
        <v>70</v>
      </c>
      <c r="F179" s="2">
        <v>2026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7"/>
      <c r="X179" s="2"/>
      <c r="Y179" s="2"/>
      <c r="Z179" s="2"/>
      <c r="AA179" s="2"/>
      <c r="AB179" s="2"/>
      <c r="AC179" s="2"/>
      <c r="AD179" s="2" t="s">
        <v>29</v>
      </c>
    </row>
    <row r="180" spans="1:30" ht="26.25" customHeight="1" x14ac:dyDescent="0.25">
      <c r="A180" s="2" t="s">
        <v>25</v>
      </c>
      <c r="B180" s="2" t="s">
        <v>54</v>
      </c>
      <c r="C180" s="2" t="s">
        <v>63</v>
      </c>
      <c r="D180" s="2">
        <v>140070</v>
      </c>
      <c r="E180" s="2" t="s">
        <v>70</v>
      </c>
      <c r="F180" s="2">
        <v>2026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7"/>
      <c r="X180" s="2"/>
      <c r="Y180" s="2"/>
      <c r="Z180" s="2"/>
      <c r="AA180" s="2"/>
      <c r="AB180" s="2"/>
      <c r="AC180" s="2"/>
      <c r="AD180" s="2" t="s">
        <v>29</v>
      </c>
    </row>
    <row r="181" spans="1:30" ht="26.25" customHeight="1" x14ac:dyDescent="0.25">
      <c r="A181" s="2" t="s">
        <v>25</v>
      </c>
      <c r="B181" s="2" t="s">
        <v>54</v>
      </c>
      <c r="C181" s="2" t="s">
        <v>64</v>
      </c>
      <c r="D181" s="2" t="s">
        <v>65</v>
      </c>
      <c r="E181" s="2" t="s">
        <v>70</v>
      </c>
      <c r="F181" s="2">
        <v>2026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7"/>
      <c r="X181" s="2"/>
      <c r="Y181" s="2"/>
      <c r="Z181" s="2"/>
      <c r="AA181" s="2"/>
      <c r="AB181" s="2"/>
      <c r="AC181" s="2"/>
      <c r="AD181" s="2" t="s">
        <v>66</v>
      </c>
    </row>
    <row r="182" spans="1:30" ht="26.25" customHeight="1" x14ac:dyDescent="0.25">
      <c r="A182" s="2" t="s">
        <v>25</v>
      </c>
      <c r="B182" s="2" t="s">
        <v>54</v>
      </c>
      <c r="C182" s="2" t="s">
        <v>55</v>
      </c>
      <c r="D182" s="2">
        <v>140002</v>
      </c>
      <c r="E182" s="2" t="s">
        <v>36</v>
      </c>
      <c r="F182" s="2">
        <v>2026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7"/>
      <c r="X182" s="2"/>
      <c r="Y182" s="2"/>
      <c r="Z182" s="2"/>
      <c r="AA182" s="2"/>
      <c r="AB182" s="2"/>
      <c r="AC182" s="2"/>
      <c r="AD182" s="2" t="s">
        <v>29</v>
      </c>
    </row>
    <row r="183" spans="1:30" ht="26.25" customHeight="1" x14ac:dyDescent="0.25">
      <c r="A183" s="2" t="s">
        <v>25</v>
      </c>
      <c r="B183" s="2" t="s">
        <v>54</v>
      </c>
      <c r="C183" s="2" t="s">
        <v>57</v>
      </c>
      <c r="D183" s="2">
        <v>140005</v>
      </c>
      <c r="E183" s="2" t="s">
        <v>36</v>
      </c>
      <c r="F183" s="2">
        <v>2026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7"/>
      <c r="X183" s="2"/>
      <c r="Y183" s="2"/>
      <c r="Z183" s="2"/>
      <c r="AA183" s="2"/>
      <c r="AB183" s="2"/>
      <c r="AC183" s="2"/>
      <c r="AD183" s="2" t="s">
        <v>29</v>
      </c>
    </row>
    <row r="184" spans="1:30" ht="26.25" customHeight="1" x14ac:dyDescent="0.25">
      <c r="A184" s="2" t="s">
        <v>25</v>
      </c>
      <c r="B184" s="2" t="s">
        <v>54</v>
      </c>
      <c r="C184" s="2" t="s">
        <v>58</v>
      </c>
      <c r="D184" s="2">
        <v>140015</v>
      </c>
      <c r="E184" s="2" t="s">
        <v>36</v>
      </c>
      <c r="F184" s="2">
        <v>2026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7"/>
      <c r="X184" s="2"/>
      <c r="Y184" s="2"/>
      <c r="Z184" s="2"/>
      <c r="AA184" s="2"/>
      <c r="AB184" s="2"/>
      <c r="AC184" s="2"/>
      <c r="AD184" s="2" t="s">
        <v>29</v>
      </c>
    </row>
    <row r="185" spans="1:30" ht="26.25" customHeight="1" x14ac:dyDescent="0.25">
      <c r="A185" s="2" t="s">
        <v>25</v>
      </c>
      <c r="B185" s="2" t="s">
        <v>54</v>
      </c>
      <c r="C185" s="2" t="s">
        <v>59</v>
      </c>
      <c r="D185" s="2">
        <v>140017</v>
      </c>
      <c r="E185" s="2" t="s">
        <v>36</v>
      </c>
      <c r="F185" s="2">
        <v>2026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7"/>
      <c r="X185" s="2"/>
      <c r="Y185" s="2"/>
      <c r="Z185" s="2"/>
      <c r="AA185" s="2"/>
      <c r="AB185" s="2"/>
      <c r="AC185" s="2"/>
      <c r="AD185" s="2" t="s">
        <v>29</v>
      </c>
    </row>
    <row r="186" spans="1:30" ht="26.25" customHeight="1" x14ac:dyDescent="0.25">
      <c r="A186" s="2" t="s">
        <v>25</v>
      </c>
      <c r="B186" s="2" t="s">
        <v>54</v>
      </c>
      <c r="C186" s="2" t="s">
        <v>60</v>
      </c>
      <c r="D186" s="2">
        <v>140030</v>
      </c>
      <c r="E186" s="2" t="s">
        <v>36</v>
      </c>
      <c r="F186" s="2">
        <v>2026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7"/>
      <c r="X186" s="2"/>
      <c r="Y186" s="2"/>
      <c r="Z186" s="2"/>
      <c r="AA186" s="2"/>
      <c r="AB186" s="2"/>
      <c r="AC186" s="2"/>
      <c r="AD186" s="2" t="s">
        <v>29</v>
      </c>
    </row>
    <row r="187" spans="1:30" ht="26.25" customHeight="1" x14ac:dyDescent="0.25">
      <c r="A187" s="2" t="s">
        <v>25</v>
      </c>
      <c r="B187" s="2" t="s">
        <v>54</v>
      </c>
      <c r="C187" s="2" t="s">
        <v>61</v>
      </c>
      <c r="D187" s="2">
        <v>140040</v>
      </c>
      <c r="E187" s="2" t="s">
        <v>36</v>
      </c>
      <c r="F187" s="2">
        <v>2026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7"/>
      <c r="X187" s="2"/>
      <c r="Y187" s="2"/>
      <c r="Z187" s="2"/>
      <c r="AA187" s="2"/>
      <c r="AB187" s="2"/>
      <c r="AC187" s="2"/>
      <c r="AD187" s="2" t="s">
        <v>29</v>
      </c>
    </row>
    <row r="188" spans="1:30" ht="26.25" customHeight="1" x14ac:dyDescent="0.25">
      <c r="A188" s="2" t="s">
        <v>25</v>
      </c>
      <c r="B188" s="2" t="s">
        <v>54</v>
      </c>
      <c r="C188" s="2" t="s">
        <v>62</v>
      </c>
      <c r="D188" s="2">
        <v>140045</v>
      </c>
      <c r="E188" s="2" t="s">
        <v>36</v>
      </c>
      <c r="F188" s="2">
        <v>2026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7"/>
      <c r="X188" s="2"/>
      <c r="Y188" s="2"/>
      <c r="Z188" s="2"/>
      <c r="AA188" s="2"/>
      <c r="AB188" s="2"/>
      <c r="AC188" s="2"/>
      <c r="AD188" s="2" t="s">
        <v>29</v>
      </c>
    </row>
    <row r="189" spans="1:30" ht="26.25" customHeight="1" x14ac:dyDescent="0.25">
      <c r="A189" s="2" t="s">
        <v>25</v>
      </c>
      <c r="B189" s="2" t="s">
        <v>54</v>
      </c>
      <c r="C189" s="2" t="s">
        <v>63</v>
      </c>
      <c r="D189" s="2">
        <v>140070</v>
      </c>
      <c r="E189" s="2" t="s">
        <v>36</v>
      </c>
      <c r="F189" s="2">
        <v>2026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7"/>
      <c r="X189" s="2"/>
      <c r="Y189" s="2"/>
      <c r="Z189" s="2"/>
      <c r="AA189" s="2"/>
      <c r="AB189" s="2"/>
      <c r="AC189" s="2"/>
      <c r="AD189" s="2" t="s">
        <v>29</v>
      </c>
    </row>
    <row r="190" spans="1:30" ht="26.25" customHeight="1" x14ac:dyDescent="0.25">
      <c r="A190" s="2" t="s">
        <v>25</v>
      </c>
      <c r="B190" s="2" t="s">
        <v>54</v>
      </c>
      <c r="C190" s="2" t="s">
        <v>64</v>
      </c>
      <c r="D190" s="2" t="s">
        <v>65</v>
      </c>
      <c r="E190" s="2" t="s">
        <v>36</v>
      </c>
      <c r="F190" s="2">
        <v>2026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7"/>
      <c r="X190" s="2"/>
      <c r="Y190" s="2"/>
      <c r="Z190" s="2"/>
      <c r="AA190" s="2"/>
      <c r="AB190" s="2"/>
      <c r="AC190" s="2"/>
      <c r="AD190" s="2" t="s">
        <v>66</v>
      </c>
    </row>
    <row r="191" spans="1:30" ht="26.25" customHeight="1" x14ac:dyDescent="0.25">
      <c r="A191" s="2" t="s">
        <v>25</v>
      </c>
      <c r="B191" s="2" t="s">
        <v>54</v>
      </c>
      <c r="C191" s="2" t="s">
        <v>55</v>
      </c>
      <c r="D191" s="2">
        <v>140002</v>
      </c>
      <c r="E191" s="2" t="s">
        <v>37</v>
      </c>
      <c r="F191" s="2">
        <v>2026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7"/>
      <c r="X191" s="2"/>
      <c r="Y191" s="2"/>
      <c r="Z191" s="2"/>
      <c r="AA191" s="2"/>
      <c r="AB191" s="2"/>
      <c r="AC191" s="2"/>
      <c r="AD191" s="2" t="s">
        <v>29</v>
      </c>
    </row>
    <row r="192" spans="1:30" ht="26.25" customHeight="1" x14ac:dyDescent="0.25">
      <c r="A192" s="2" t="s">
        <v>25</v>
      </c>
      <c r="B192" s="2" t="s">
        <v>54</v>
      </c>
      <c r="C192" s="2" t="s">
        <v>57</v>
      </c>
      <c r="D192" s="2">
        <v>140005</v>
      </c>
      <c r="E192" s="2" t="s">
        <v>37</v>
      </c>
      <c r="F192" s="2">
        <v>2026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7"/>
      <c r="X192" s="2"/>
      <c r="Y192" s="2"/>
      <c r="Z192" s="2"/>
      <c r="AA192" s="2"/>
      <c r="AB192" s="2"/>
      <c r="AC192" s="2"/>
      <c r="AD192" s="2" t="s">
        <v>29</v>
      </c>
    </row>
    <row r="193" spans="1:30" ht="26.25" customHeight="1" x14ac:dyDescent="0.25">
      <c r="A193" s="2" t="s">
        <v>25</v>
      </c>
      <c r="B193" s="2" t="s">
        <v>54</v>
      </c>
      <c r="C193" s="2" t="s">
        <v>58</v>
      </c>
      <c r="D193" s="2">
        <v>140015</v>
      </c>
      <c r="E193" s="2" t="s">
        <v>37</v>
      </c>
      <c r="F193" s="2">
        <v>2026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7"/>
      <c r="X193" s="2"/>
      <c r="Y193" s="2"/>
      <c r="Z193" s="2"/>
      <c r="AA193" s="2"/>
      <c r="AB193" s="2"/>
      <c r="AC193" s="2"/>
      <c r="AD193" s="2" t="s">
        <v>29</v>
      </c>
    </row>
    <row r="194" spans="1:30" ht="26.25" customHeight="1" x14ac:dyDescent="0.25">
      <c r="A194" s="2" t="s">
        <v>25</v>
      </c>
      <c r="B194" s="2" t="s">
        <v>54</v>
      </c>
      <c r="C194" s="2" t="s">
        <v>59</v>
      </c>
      <c r="D194" s="2">
        <v>140017</v>
      </c>
      <c r="E194" s="2" t="s">
        <v>37</v>
      </c>
      <c r="F194" s="2">
        <v>2026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7"/>
      <c r="X194" s="2"/>
      <c r="Y194" s="2"/>
      <c r="Z194" s="2"/>
      <c r="AA194" s="2"/>
      <c r="AB194" s="2"/>
      <c r="AC194" s="2"/>
      <c r="AD194" s="2" t="s">
        <v>29</v>
      </c>
    </row>
    <row r="195" spans="1:30" ht="26.25" customHeight="1" x14ac:dyDescent="0.25">
      <c r="A195" s="2" t="s">
        <v>25</v>
      </c>
      <c r="B195" s="2" t="s">
        <v>54</v>
      </c>
      <c r="C195" s="2" t="s">
        <v>60</v>
      </c>
      <c r="D195" s="2">
        <v>140030</v>
      </c>
      <c r="E195" s="2" t="s">
        <v>37</v>
      </c>
      <c r="F195" s="2">
        <v>2026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7"/>
      <c r="X195" s="2"/>
      <c r="Y195" s="2"/>
      <c r="Z195" s="2"/>
      <c r="AA195" s="2"/>
      <c r="AB195" s="2"/>
      <c r="AC195" s="2"/>
      <c r="AD195" s="2" t="s">
        <v>29</v>
      </c>
    </row>
    <row r="196" spans="1:30" ht="26.25" customHeight="1" x14ac:dyDescent="0.25">
      <c r="A196" s="2" t="s">
        <v>25</v>
      </c>
      <c r="B196" s="2" t="s">
        <v>54</v>
      </c>
      <c r="C196" s="2" t="s">
        <v>61</v>
      </c>
      <c r="D196" s="2">
        <v>140040</v>
      </c>
      <c r="E196" s="2" t="s">
        <v>37</v>
      </c>
      <c r="F196" s="2">
        <v>2026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7"/>
      <c r="X196" s="2"/>
      <c r="Y196" s="2"/>
      <c r="Z196" s="2"/>
      <c r="AA196" s="2"/>
      <c r="AB196" s="2"/>
      <c r="AC196" s="2"/>
      <c r="AD196" s="2" t="s">
        <v>29</v>
      </c>
    </row>
    <row r="197" spans="1:30" ht="26.25" customHeight="1" x14ac:dyDescent="0.25">
      <c r="A197" s="2" t="s">
        <v>25</v>
      </c>
      <c r="B197" s="2" t="s">
        <v>54</v>
      </c>
      <c r="C197" s="2" t="s">
        <v>62</v>
      </c>
      <c r="D197" s="2">
        <v>140045</v>
      </c>
      <c r="E197" s="2" t="s">
        <v>37</v>
      </c>
      <c r="F197" s="2">
        <v>2026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7"/>
      <c r="X197" s="2"/>
      <c r="Y197" s="2"/>
      <c r="Z197" s="2"/>
      <c r="AA197" s="2"/>
      <c r="AB197" s="2"/>
      <c r="AC197" s="2"/>
      <c r="AD197" s="2" t="s">
        <v>29</v>
      </c>
    </row>
    <row r="198" spans="1:30" ht="26.25" customHeight="1" x14ac:dyDescent="0.25">
      <c r="A198" s="2" t="s">
        <v>25</v>
      </c>
      <c r="B198" s="2" t="s">
        <v>54</v>
      </c>
      <c r="C198" s="2" t="s">
        <v>63</v>
      </c>
      <c r="D198" s="2">
        <v>140070</v>
      </c>
      <c r="E198" s="2" t="s">
        <v>37</v>
      </c>
      <c r="F198" s="2">
        <v>2026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7"/>
      <c r="X198" s="2"/>
      <c r="Y198" s="2"/>
      <c r="Z198" s="2"/>
      <c r="AA198" s="2"/>
      <c r="AB198" s="2"/>
      <c r="AC198" s="2"/>
      <c r="AD198" s="2" t="s">
        <v>29</v>
      </c>
    </row>
    <row r="199" spans="1:30" ht="26.25" customHeight="1" x14ac:dyDescent="0.25">
      <c r="A199" s="2" t="s">
        <v>25</v>
      </c>
      <c r="B199" s="2" t="s">
        <v>54</v>
      </c>
      <c r="C199" s="2" t="s">
        <v>64</v>
      </c>
      <c r="D199" s="2" t="s">
        <v>65</v>
      </c>
      <c r="E199" s="2" t="s">
        <v>37</v>
      </c>
      <c r="F199" s="2">
        <v>2026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7"/>
      <c r="X199" s="2"/>
      <c r="Y199" s="2"/>
      <c r="Z199" s="2"/>
      <c r="AA199" s="2"/>
      <c r="AB199" s="2"/>
      <c r="AC199" s="2"/>
      <c r="AD199" s="2" t="s">
        <v>66</v>
      </c>
    </row>
    <row r="200" spans="1:30" ht="26.25" customHeight="1" x14ac:dyDescent="0.25">
      <c r="A200" s="2" t="s">
        <v>25</v>
      </c>
      <c r="B200" s="2" t="s">
        <v>54</v>
      </c>
      <c r="C200" s="2" t="s">
        <v>55</v>
      </c>
      <c r="D200" s="2">
        <v>140002</v>
      </c>
      <c r="E200" s="2" t="s">
        <v>71</v>
      </c>
      <c r="F200" s="2">
        <v>2026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7"/>
      <c r="X200" s="2"/>
      <c r="Y200" s="2"/>
      <c r="Z200" s="2"/>
      <c r="AA200" s="2"/>
      <c r="AB200" s="2"/>
      <c r="AC200" s="2"/>
      <c r="AD200" s="2" t="s">
        <v>29</v>
      </c>
    </row>
    <row r="201" spans="1:30" ht="26.25" customHeight="1" x14ac:dyDescent="0.25">
      <c r="A201" s="2" t="s">
        <v>25</v>
      </c>
      <c r="B201" s="2" t="s">
        <v>54</v>
      </c>
      <c r="C201" s="2" t="s">
        <v>57</v>
      </c>
      <c r="D201" s="2">
        <v>140005</v>
      </c>
      <c r="E201" s="2" t="s">
        <v>71</v>
      </c>
      <c r="F201" s="2">
        <v>2026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7"/>
      <c r="X201" s="2"/>
      <c r="Y201" s="2"/>
      <c r="Z201" s="2"/>
      <c r="AA201" s="2"/>
      <c r="AB201" s="2"/>
      <c r="AC201" s="2"/>
      <c r="AD201" s="2" t="s">
        <v>29</v>
      </c>
    </row>
    <row r="202" spans="1:30" ht="26.25" customHeight="1" x14ac:dyDescent="0.25">
      <c r="A202" s="2" t="s">
        <v>25</v>
      </c>
      <c r="B202" s="2" t="s">
        <v>54</v>
      </c>
      <c r="C202" s="2" t="s">
        <v>58</v>
      </c>
      <c r="D202" s="2">
        <v>140015</v>
      </c>
      <c r="E202" s="2" t="s">
        <v>71</v>
      </c>
      <c r="F202" s="2">
        <v>2026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7"/>
      <c r="X202" s="2"/>
      <c r="Y202" s="2"/>
      <c r="Z202" s="2"/>
      <c r="AA202" s="2"/>
      <c r="AB202" s="2"/>
      <c r="AC202" s="2"/>
      <c r="AD202" s="2" t="s">
        <v>29</v>
      </c>
    </row>
    <row r="203" spans="1:30" ht="26.25" customHeight="1" x14ac:dyDescent="0.25">
      <c r="A203" s="2" t="s">
        <v>25</v>
      </c>
      <c r="B203" s="2" t="s">
        <v>54</v>
      </c>
      <c r="C203" s="2" t="s">
        <v>59</v>
      </c>
      <c r="D203" s="2">
        <v>140017</v>
      </c>
      <c r="E203" s="2" t="s">
        <v>71</v>
      </c>
      <c r="F203" s="2">
        <v>2026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7"/>
      <c r="X203" s="2"/>
      <c r="Y203" s="2"/>
      <c r="Z203" s="2"/>
      <c r="AA203" s="2"/>
      <c r="AB203" s="2"/>
      <c r="AC203" s="2"/>
      <c r="AD203" s="2" t="s">
        <v>29</v>
      </c>
    </row>
    <row r="204" spans="1:30" ht="26.25" customHeight="1" x14ac:dyDescent="0.25">
      <c r="A204" s="2" t="s">
        <v>25</v>
      </c>
      <c r="B204" s="2" t="s">
        <v>54</v>
      </c>
      <c r="C204" s="2" t="s">
        <v>60</v>
      </c>
      <c r="D204" s="2">
        <v>140030</v>
      </c>
      <c r="E204" s="2" t="s">
        <v>71</v>
      </c>
      <c r="F204" s="2">
        <v>2026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7"/>
      <c r="X204" s="2"/>
      <c r="Y204" s="2"/>
      <c r="Z204" s="2"/>
      <c r="AA204" s="2"/>
      <c r="AB204" s="2"/>
      <c r="AC204" s="2"/>
      <c r="AD204" s="2" t="s">
        <v>29</v>
      </c>
    </row>
    <row r="205" spans="1:30" ht="26.25" customHeight="1" x14ac:dyDescent="0.25">
      <c r="A205" s="2" t="s">
        <v>25</v>
      </c>
      <c r="B205" s="2" t="s">
        <v>54</v>
      </c>
      <c r="C205" s="2" t="s">
        <v>61</v>
      </c>
      <c r="D205" s="2">
        <v>140040</v>
      </c>
      <c r="E205" s="2" t="s">
        <v>71</v>
      </c>
      <c r="F205" s="2">
        <v>2026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7"/>
      <c r="X205" s="2"/>
      <c r="Y205" s="2"/>
      <c r="Z205" s="2"/>
      <c r="AA205" s="2"/>
      <c r="AB205" s="2"/>
      <c r="AC205" s="2"/>
      <c r="AD205" s="2" t="s">
        <v>29</v>
      </c>
    </row>
    <row r="206" spans="1:30" ht="26.25" customHeight="1" x14ac:dyDescent="0.25">
      <c r="A206" s="2" t="s">
        <v>25</v>
      </c>
      <c r="B206" s="2" t="s">
        <v>54</v>
      </c>
      <c r="C206" s="2" t="s">
        <v>62</v>
      </c>
      <c r="D206" s="2">
        <v>140045</v>
      </c>
      <c r="E206" s="2" t="s">
        <v>71</v>
      </c>
      <c r="F206" s="2">
        <v>2026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7"/>
      <c r="X206" s="2"/>
      <c r="Y206" s="2"/>
      <c r="Z206" s="2"/>
      <c r="AA206" s="2"/>
      <c r="AB206" s="2"/>
      <c r="AC206" s="2"/>
      <c r="AD206" s="2" t="s">
        <v>29</v>
      </c>
    </row>
    <row r="207" spans="1:30" ht="26.25" customHeight="1" x14ac:dyDescent="0.25">
      <c r="A207" s="2" t="s">
        <v>25</v>
      </c>
      <c r="B207" s="2" t="s">
        <v>54</v>
      </c>
      <c r="C207" s="2" t="s">
        <v>63</v>
      </c>
      <c r="D207" s="2">
        <v>140070</v>
      </c>
      <c r="E207" s="2" t="s">
        <v>71</v>
      </c>
      <c r="F207" s="2">
        <v>2026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7"/>
      <c r="X207" s="2"/>
      <c r="Y207" s="2"/>
      <c r="Z207" s="2"/>
      <c r="AA207" s="2"/>
      <c r="AB207" s="2"/>
      <c r="AC207" s="2"/>
      <c r="AD207" s="2" t="s">
        <v>29</v>
      </c>
    </row>
    <row r="208" spans="1:30" ht="26.25" customHeight="1" x14ac:dyDescent="0.25">
      <c r="A208" s="2" t="s">
        <v>25</v>
      </c>
      <c r="B208" s="2" t="s">
        <v>54</v>
      </c>
      <c r="C208" s="2" t="s">
        <v>64</v>
      </c>
      <c r="D208" s="2" t="s">
        <v>65</v>
      </c>
      <c r="E208" s="2" t="s">
        <v>71</v>
      </c>
      <c r="F208" s="2">
        <v>2026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7"/>
      <c r="X208" s="2"/>
      <c r="Y208" s="2"/>
      <c r="Z208" s="2"/>
      <c r="AA208" s="2"/>
      <c r="AB208" s="2"/>
      <c r="AC208" s="2"/>
      <c r="AD208" s="2" t="s">
        <v>66</v>
      </c>
    </row>
    <row r="209" spans="1:30" ht="26.25" customHeight="1" x14ac:dyDescent="0.25">
      <c r="A209" s="2" t="s">
        <v>25</v>
      </c>
      <c r="B209" s="2" t="s">
        <v>54</v>
      </c>
      <c r="C209" s="2" t="s">
        <v>55</v>
      </c>
      <c r="D209" s="2">
        <v>140002</v>
      </c>
      <c r="E209" s="2" t="s">
        <v>72</v>
      </c>
      <c r="F209" s="2">
        <v>2026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7"/>
      <c r="X209" s="2"/>
      <c r="Y209" s="2"/>
      <c r="Z209" s="2"/>
      <c r="AA209" s="2"/>
      <c r="AB209" s="2"/>
      <c r="AC209" s="2"/>
      <c r="AD209" s="2" t="s">
        <v>29</v>
      </c>
    </row>
    <row r="210" spans="1:30" ht="26.25" customHeight="1" x14ac:dyDescent="0.25">
      <c r="A210" s="2" t="s">
        <v>25</v>
      </c>
      <c r="B210" s="2" t="s">
        <v>54</v>
      </c>
      <c r="C210" s="2" t="s">
        <v>57</v>
      </c>
      <c r="D210" s="2">
        <v>140005</v>
      </c>
      <c r="E210" s="2" t="s">
        <v>72</v>
      </c>
      <c r="F210" s="2">
        <v>2026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7"/>
      <c r="X210" s="2"/>
      <c r="Y210" s="2"/>
      <c r="Z210" s="2"/>
      <c r="AA210" s="2"/>
      <c r="AB210" s="2"/>
      <c r="AC210" s="2"/>
      <c r="AD210" s="2" t="s">
        <v>29</v>
      </c>
    </row>
    <row r="211" spans="1:30" ht="26.25" customHeight="1" x14ac:dyDescent="0.25">
      <c r="A211" s="2" t="s">
        <v>25</v>
      </c>
      <c r="B211" s="2" t="s">
        <v>54</v>
      </c>
      <c r="C211" s="2" t="s">
        <v>58</v>
      </c>
      <c r="D211" s="2">
        <v>140015</v>
      </c>
      <c r="E211" s="2" t="s">
        <v>72</v>
      </c>
      <c r="F211" s="2">
        <v>2026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7"/>
      <c r="X211" s="2"/>
      <c r="Y211" s="2"/>
      <c r="Z211" s="2"/>
      <c r="AA211" s="2"/>
      <c r="AB211" s="2"/>
      <c r="AC211" s="2"/>
      <c r="AD211" s="2" t="s">
        <v>29</v>
      </c>
    </row>
    <row r="212" spans="1:30" ht="26.25" customHeight="1" x14ac:dyDescent="0.25">
      <c r="A212" s="2" t="s">
        <v>25</v>
      </c>
      <c r="B212" s="2" t="s">
        <v>54</v>
      </c>
      <c r="C212" s="2" t="s">
        <v>59</v>
      </c>
      <c r="D212" s="2">
        <v>140017</v>
      </c>
      <c r="E212" s="2" t="s">
        <v>72</v>
      </c>
      <c r="F212" s="2">
        <v>2026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7"/>
      <c r="X212" s="2"/>
      <c r="Y212" s="2"/>
      <c r="Z212" s="2"/>
      <c r="AA212" s="2"/>
      <c r="AB212" s="2"/>
      <c r="AC212" s="2"/>
      <c r="AD212" s="2" t="s">
        <v>29</v>
      </c>
    </row>
    <row r="213" spans="1:30" ht="26.25" customHeight="1" x14ac:dyDescent="0.25">
      <c r="A213" s="2" t="s">
        <v>25</v>
      </c>
      <c r="B213" s="2" t="s">
        <v>54</v>
      </c>
      <c r="C213" s="2" t="s">
        <v>60</v>
      </c>
      <c r="D213" s="2">
        <v>140030</v>
      </c>
      <c r="E213" s="2" t="s">
        <v>72</v>
      </c>
      <c r="F213" s="2">
        <v>2026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7"/>
      <c r="X213" s="2"/>
      <c r="Y213" s="2"/>
      <c r="Z213" s="2"/>
      <c r="AA213" s="2"/>
      <c r="AB213" s="2"/>
      <c r="AC213" s="2"/>
      <c r="AD213" s="2" t="s">
        <v>29</v>
      </c>
    </row>
    <row r="214" spans="1:30" ht="26.25" customHeight="1" x14ac:dyDescent="0.25">
      <c r="A214" s="2" t="s">
        <v>25</v>
      </c>
      <c r="B214" s="2" t="s">
        <v>54</v>
      </c>
      <c r="C214" s="2" t="s">
        <v>61</v>
      </c>
      <c r="D214" s="2">
        <v>140040</v>
      </c>
      <c r="E214" s="2" t="s">
        <v>72</v>
      </c>
      <c r="F214" s="2">
        <v>2026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7"/>
      <c r="X214" s="2"/>
      <c r="Y214" s="2"/>
      <c r="Z214" s="2"/>
      <c r="AA214" s="2"/>
      <c r="AB214" s="2"/>
      <c r="AC214" s="2"/>
      <c r="AD214" s="2" t="s">
        <v>29</v>
      </c>
    </row>
    <row r="215" spans="1:30" ht="26.25" customHeight="1" x14ac:dyDescent="0.25">
      <c r="A215" s="2" t="s">
        <v>25</v>
      </c>
      <c r="B215" s="2" t="s">
        <v>54</v>
      </c>
      <c r="C215" s="2" t="s">
        <v>62</v>
      </c>
      <c r="D215" s="2">
        <v>140045</v>
      </c>
      <c r="E215" s="2" t="s">
        <v>72</v>
      </c>
      <c r="F215" s="2">
        <v>2026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7"/>
      <c r="X215" s="2"/>
      <c r="Y215" s="2"/>
      <c r="Z215" s="2"/>
      <c r="AA215" s="2"/>
      <c r="AB215" s="2"/>
      <c r="AC215" s="2"/>
      <c r="AD215" s="2" t="s">
        <v>29</v>
      </c>
    </row>
    <row r="216" spans="1:30" ht="26.25" customHeight="1" x14ac:dyDescent="0.25">
      <c r="A216" s="2" t="s">
        <v>25</v>
      </c>
      <c r="B216" s="2" t="s">
        <v>54</v>
      </c>
      <c r="C216" s="2" t="s">
        <v>63</v>
      </c>
      <c r="D216" s="2">
        <v>140070</v>
      </c>
      <c r="E216" s="2" t="s">
        <v>72</v>
      </c>
      <c r="F216" s="2">
        <v>2026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7"/>
      <c r="X216" s="2"/>
      <c r="Y216" s="2"/>
      <c r="Z216" s="2"/>
      <c r="AA216" s="2"/>
      <c r="AB216" s="2"/>
      <c r="AC216" s="2"/>
      <c r="AD216" s="2" t="s">
        <v>29</v>
      </c>
    </row>
    <row r="217" spans="1:30" ht="26.25" customHeight="1" x14ac:dyDescent="0.25">
      <c r="A217" s="2" t="s">
        <v>25</v>
      </c>
      <c r="B217" s="2" t="s">
        <v>54</v>
      </c>
      <c r="C217" s="2" t="s">
        <v>64</v>
      </c>
      <c r="D217" s="2" t="s">
        <v>65</v>
      </c>
      <c r="E217" s="2" t="s">
        <v>72</v>
      </c>
      <c r="F217" s="2">
        <v>2026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7"/>
      <c r="X217" s="2"/>
      <c r="Y217" s="2"/>
      <c r="Z217" s="2"/>
      <c r="AA217" s="2"/>
      <c r="AB217" s="2"/>
      <c r="AC217" s="2"/>
      <c r="AD217" s="2" t="s">
        <v>66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AD1B2668470C34F9C51F5EAB1EACECD" ma:contentTypeVersion="20" ma:contentTypeDescription="Criar um novo documento." ma:contentTypeScope="" ma:versionID="9a9b90b46f77c2b0f1ff57f23b84521b">
  <xsd:schema xmlns:xsd="http://www.w3.org/2001/XMLSchema" xmlns:xs="http://www.w3.org/2001/XMLSchema" xmlns:p="http://schemas.microsoft.com/office/2006/metadata/properties" xmlns:ns1="http://schemas.microsoft.com/sharepoint/v3" xmlns:ns2="3ed1acca-0771-4a9f-90d9-a26cac60118c" xmlns:ns3="2d7b4a2e-b587-417d-abc0-f7fbddf69493" targetNamespace="http://schemas.microsoft.com/office/2006/metadata/properties" ma:root="true" ma:fieldsID="297d1d3d6efee37ed7e410b0ad9f08b7" ns1:_="" ns2:_="" ns3:_="">
    <xsd:import namespace="http://schemas.microsoft.com/sharepoint/v3"/>
    <xsd:import namespace="3ed1acca-0771-4a9f-90d9-a26cac60118c"/>
    <xsd:import namespace="2d7b4a2e-b587-417d-abc0-f7fbddf6949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1acca-0771-4a9f-90d9-a26cac60118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2609cfa-bdc8-46d8-a462-8b91fa762168}" ma:internalName="TaxCatchAll" ma:showField="CatchAllData" ma:web="3ed1acca-0771-4a9f-90d9-a26cac6011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7b4a2e-b587-417d-abc0-f7fbddf694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m" ma:readOnly="false" ma:fieldId="{5cf76f15-5ced-4ddc-b409-7134ff3c332f}" ma:taxonomyMulti="true" ma:sspId="af7ba5c7-e7e8-46ad-a5c3-76d2e405b1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7b4a2e-b587-417d-abc0-f7fbddf69493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3ed1acca-0771-4a9f-90d9-a26cac60118c" xsi:nil="true"/>
  </documentManagement>
</p:properties>
</file>

<file path=customXml/itemProps1.xml><?xml version="1.0" encoding="utf-8"?>
<ds:datastoreItem xmlns:ds="http://schemas.openxmlformats.org/officeDocument/2006/customXml" ds:itemID="{FCD131F5-1CFE-4046-A439-26A1740DF9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d1acca-0771-4a9f-90d9-a26cac60118c"/>
    <ds:schemaRef ds:uri="2d7b4a2e-b587-417d-abc0-f7fbddf694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5E014E-59E9-4436-A4BD-0705E64C6D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51B7DA-A0B8-4DA1-83D4-FB1B5E6F5FF8}">
  <ds:schemaRefs>
    <ds:schemaRef ds:uri="http://schemas.microsoft.com/office/2006/metadata/properties"/>
    <ds:schemaRef ds:uri="http://schemas.microsoft.com/office/infopath/2007/PartnerControls"/>
    <ds:schemaRef ds:uri="2d7b4a2e-b587-417d-abc0-f7fbddf69493"/>
    <ds:schemaRef ds:uri="http://schemas.microsoft.com/sharepoint/v3"/>
    <ds:schemaRef ds:uri="3ed1acca-0771-4a9f-90d9-a26cac6011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Capital</vt:lpstr>
      <vt:lpstr>Centro Norte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Alec Brian Lacerda</dc:creator>
  <cp:keywords/>
  <dc:description/>
  <cp:lastModifiedBy>Alec Brian Lacerda</cp:lastModifiedBy>
  <cp:revision/>
  <dcterms:created xsi:type="dcterms:W3CDTF">2026-01-19T07:24:28Z</dcterms:created>
  <dcterms:modified xsi:type="dcterms:W3CDTF">2026-06-06T00:02:01Z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0x010100FAD1B2668470C34F9C51F5EAB1EACECD</vt:lpwstr>
  </property>
  <property fmtid="{D5CDD505-2E9C-101B-9397-08002B2CF9AE}" pid="3" name="MediaServiceImageTags">
    <vt:lpwstr/>
  </property>
</Properties>
</file>